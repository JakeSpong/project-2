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rcwhUzDKkuEWFfuLl3vGUbpCjZRwE1a9yWVFOWP404="/>
    </ext>
  </extLst>
</workbook>
</file>

<file path=xl/sharedStrings.xml><?xml version="1.0" encoding="utf-8"?>
<sst xmlns="http://schemas.openxmlformats.org/spreadsheetml/2006/main" count="614" uniqueCount="358">
  <si>
    <t>Sample</t>
  </si>
  <si>
    <t>Datafile</t>
  </si>
  <si>
    <t>Date</t>
  </si>
  <si>
    <t>Time</t>
  </si>
  <si>
    <t>Type</t>
  </si>
  <si>
    <t>Weight (mg)</t>
  </si>
  <si>
    <t>N (%)</t>
  </si>
  <si>
    <t>C (%)</t>
  </si>
  <si>
    <t>Drift Corr N (%)</t>
  </si>
  <si>
    <t>Drift Corr C (%)</t>
  </si>
  <si>
    <t>Drift Corr N (mg)</t>
  </si>
  <si>
    <t>Drift Corr C (mg)</t>
  </si>
  <si>
    <t>Drift Corr N (g per kg)</t>
  </si>
  <si>
    <t>Drift Corr C (g per kg)</t>
  </si>
  <si>
    <t>BRI-B-1</t>
  </si>
  <si>
    <t>mp20250311_09</t>
  </si>
  <si>
    <t>11/03/2025</t>
  </si>
  <si>
    <t>11:26</t>
  </si>
  <si>
    <t>UNK</t>
  </si>
  <si>
    <t>BRI-B-2</t>
  </si>
  <si>
    <t>mp20250311_10</t>
  </si>
  <si>
    <t>11:31</t>
  </si>
  <si>
    <t>BRI-B-3</t>
  </si>
  <si>
    <t>mp20250311_11</t>
  </si>
  <si>
    <t>11:36</t>
  </si>
  <si>
    <t>BRI-B-4</t>
  </si>
  <si>
    <t>mp20250311_12</t>
  </si>
  <si>
    <t>11:41</t>
  </si>
  <si>
    <t>BRI-B-5</t>
  </si>
  <si>
    <t>mp20250311_13</t>
  </si>
  <si>
    <t>11:45</t>
  </si>
  <si>
    <t>BRI-B-6</t>
  </si>
  <si>
    <t>mp20250311_14</t>
  </si>
  <si>
    <t>11:50</t>
  </si>
  <si>
    <t>BRI-B-7</t>
  </si>
  <si>
    <t>mp20250311_15</t>
  </si>
  <si>
    <t>11:55</t>
  </si>
  <si>
    <t>BRI-B-8</t>
  </si>
  <si>
    <t>mp20250311_16</t>
  </si>
  <si>
    <t>12:00</t>
  </si>
  <si>
    <t>BRI-B-9</t>
  </si>
  <si>
    <t>mp20250311_17</t>
  </si>
  <si>
    <t>12:04</t>
  </si>
  <si>
    <t>BRI-B-10</t>
  </si>
  <si>
    <t>mp20250311_18</t>
  </si>
  <si>
    <t>12:09</t>
  </si>
  <si>
    <t>BRI-H-1</t>
  </si>
  <si>
    <t>mp20250311_22</t>
  </si>
  <si>
    <t>12:28</t>
  </si>
  <si>
    <t>BRI-H-2</t>
  </si>
  <si>
    <t>mp20250311_23</t>
  </si>
  <si>
    <t>12:33</t>
  </si>
  <si>
    <t>BRI-H-3</t>
  </si>
  <si>
    <t>mp20250311_24</t>
  </si>
  <si>
    <t>12:38</t>
  </si>
  <si>
    <t>BRI-H-4</t>
  </si>
  <si>
    <t>mp20250311_25</t>
  </si>
  <si>
    <t>12:42</t>
  </si>
  <si>
    <t>BRI-H-5</t>
  </si>
  <si>
    <t>mp20250311_26</t>
  </si>
  <si>
    <t>12:47</t>
  </si>
  <si>
    <t>BRI-H-6</t>
  </si>
  <si>
    <t>mp20250311_27</t>
  </si>
  <si>
    <t>12:52</t>
  </si>
  <si>
    <t>BRI-H-7</t>
  </si>
  <si>
    <t>mp20250311_28</t>
  </si>
  <si>
    <t>12:57</t>
  </si>
  <si>
    <t>BRI-H-8</t>
  </si>
  <si>
    <t>mp20250311_29</t>
  </si>
  <si>
    <t>13:01</t>
  </si>
  <si>
    <t>BRI-H-9</t>
  </si>
  <si>
    <t>mp20250311_30</t>
  </si>
  <si>
    <t>13:06</t>
  </si>
  <si>
    <t>BRI-H-10</t>
  </si>
  <si>
    <t>mp20250311_31</t>
  </si>
  <si>
    <t>13:11</t>
  </si>
  <si>
    <t>SWM-B-1</t>
  </si>
  <si>
    <t>mp20250311_35</t>
  </si>
  <si>
    <t>13:30</t>
  </si>
  <si>
    <t>SWM-B-2</t>
  </si>
  <si>
    <t>mp20250311_36</t>
  </si>
  <si>
    <t>13:34</t>
  </si>
  <si>
    <t>SWM-B-3</t>
  </si>
  <si>
    <t>mp20250311_37</t>
  </si>
  <si>
    <t>13:39</t>
  </si>
  <si>
    <t>SWM-B-4</t>
  </si>
  <si>
    <t>mp20250311_38</t>
  </si>
  <si>
    <t>13:44</t>
  </si>
  <si>
    <t>SWM-B-5</t>
  </si>
  <si>
    <t>mp20250311_39</t>
  </si>
  <si>
    <t>13:49</t>
  </si>
  <si>
    <t>SWM-B-6</t>
  </si>
  <si>
    <t>mp20250311_40</t>
  </si>
  <si>
    <t>13:53</t>
  </si>
  <si>
    <t>SWM-B-7</t>
  </si>
  <si>
    <t>mp20250311_41</t>
  </si>
  <si>
    <t>13:58</t>
  </si>
  <si>
    <t>SWM-B-8</t>
  </si>
  <si>
    <t>mp20250311_42</t>
  </si>
  <si>
    <t>14:03</t>
  </si>
  <si>
    <t>SWM-B-9</t>
  </si>
  <si>
    <t>mp20250311_43</t>
  </si>
  <si>
    <t>14:08</t>
  </si>
  <si>
    <t>SWM-B-10</t>
  </si>
  <si>
    <t>mp20250311_44</t>
  </si>
  <si>
    <t>14:12</t>
  </si>
  <si>
    <t>SWM-H-1</t>
  </si>
  <si>
    <t>mp20250311_48</t>
  </si>
  <si>
    <t>14:31</t>
  </si>
  <si>
    <t>SWM-H-2</t>
  </si>
  <si>
    <t>mp20250311_49</t>
  </si>
  <si>
    <t>14:36</t>
  </si>
  <si>
    <t>SWM-H-3</t>
  </si>
  <si>
    <t>mp20250311_50</t>
  </si>
  <si>
    <t>14:41</t>
  </si>
  <si>
    <t>SWM-H-4</t>
  </si>
  <si>
    <t>mp20250311_51</t>
  </si>
  <si>
    <t>14:46</t>
  </si>
  <si>
    <t>SWM-H-5</t>
  </si>
  <si>
    <t>mp20250311_52</t>
  </si>
  <si>
    <t>14:50</t>
  </si>
  <si>
    <t>SWM-H-6</t>
  </si>
  <si>
    <t>mp20250311_53</t>
  </si>
  <si>
    <t>14:55</t>
  </si>
  <si>
    <t>SWM-H-7</t>
  </si>
  <si>
    <t>mp20250311_54</t>
  </si>
  <si>
    <t>15:00</t>
  </si>
  <si>
    <t>SWM-H-8</t>
  </si>
  <si>
    <t>mp20250311_55</t>
  </si>
  <si>
    <t>15:05</t>
  </si>
  <si>
    <t>SWM-H-9</t>
  </si>
  <si>
    <t>mp20250311_56</t>
  </si>
  <si>
    <t>15:09</t>
  </si>
  <si>
    <t>SWM-H-10</t>
  </si>
  <si>
    <t>mp20250311_57</t>
  </si>
  <si>
    <t>15:14</t>
  </si>
  <si>
    <t>BHM-B-1</t>
  </si>
  <si>
    <t>mp20250312_09</t>
  </si>
  <si>
    <t>12/03/2025</t>
  </si>
  <si>
    <t>10:55</t>
  </si>
  <si>
    <t>BHM-B-2</t>
  </si>
  <si>
    <t>mp20250312_10</t>
  </si>
  <si>
    <t>10:59</t>
  </si>
  <si>
    <t>BHM-B-3</t>
  </si>
  <si>
    <t>mp20250312_11</t>
  </si>
  <si>
    <t>11:04</t>
  </si>
  <si>
    <t>BHM-B-4</t>
  </si>
  <si>
    <t>mp20250312_12</t>
  </si>
  <si>
    <t>11:09</t>
  </si>
  <si>
    <t>BHM-B-5</t>
  </si>
  <si>
    <t>mp20250312_13</t>
  </si>
  <si>
    <t>11:14</t>
  </si>
  <si>
    <t>BHM-B-6</t>
  </si>
  <si>
    <t>mp20250312_14</t>
  </si>
  <si>
    <t>11:18</t>
  </si>
  <si>
    <t>BHM-B-7</t>
  </si>
  <si>
    <t>mp20250312_15</t>
  </si>
  <si>
    <t>11:23</t>
  </si>
  <si>
    <t>BHM-B-8</t>
  </si>
  <si>
    <t>mp20250312_16</t>
  </si>
  <si>
    <t>11:28</t>
  </si>
  <si>
    <t>BHM-B-9</t>
  </si>
  <si>
    <t>mp20250312_17</t>
  </si>
  <si>
    <t>11:33</t>
  </si>
  <si>
    <t>BHM-B-10</t>
  </si>
  <si>
    <t>mp20250312_18</t>
  </si>
  <si>
    <t>11:37</t>
  </si>
  <si>
    <t>BHM-H-1</t>
  </si>
  <si>
    <t>mp20250312_22</t>
  </si>
  <si>
    <t>11:56</t>
  </si>
  <si>
    <t>BHM-H-2</t>
  </si>
  <si>
    <t>mp20250312_23</t>
  </si>
  <si>
    <t>12:01</t>
  </si>
  <si>
    <t>BHM-H-3</t>
  </si>
  <si>
    <t>mp20250312_24</t>
  </si>
  <si>
    <t>12:06</t>
  </si>
  <si>
    <t>BHM-H-4</t>
  </si>
  <si>
    <t>mp20250312_25</t>
  </si>
  <si>
    <t>12:10</t>
  </si>
  <si>
    <t>BHM-H-5</t>
  </si>
  <si>
    <t>mp20250312_26</t>
  </si>
  <si>
    <t>12:15</t>
  </si>
  <si>
    <t>BHM-H-6</t>
  </si>
  <si>
    <t>mp20250312_27</t>
  </si>
  <si>
    <t>12:20</t>
  </si>
  <si>
    <t>BHM-H-7</t>
  </si>
  <si>
    <t>mp20250312_28</t>
  </si>
  <si>
    <t>12:25</t>
  </si>
  <si>
    <t>BHM-H-8</t>
  </si>
  <si>
    <t>mp20250312_29</t>
  </si>
  <si>
    <t>12:29</t>
  </si>
  <si>
    <t>BHM-H-9</t>
  </si>
  <si>
    <t>mp20250312_30</t>
  </si>
  <si>
    <t>12:34</t>
  </si>
  <si>
    <t>BHM-H-10</t>
  </si>
  <si>
    <t>mp20250312_31</t>
  </si>
  <si>
    <t>12:39</t>
  </si>
  <si>
    <t>WDY-B-1</t>
  </si>
  <si>
    <t>mp20250312_35</t>
  </si>
  <si>
    <t>12:58</t>
  </si>
  <si>
    <t>WDY-B-2</t>
  </si>
  <si>
    <t>mp20250312_36</t>
  </si>
  <si>
    <t>13:03</t>
  </si>
  <si>
    <t>WDY-B-3</t>
  </si>
  <si>
    <t>mp20250312_37</t>
  </si>
  <si>
    <t>13:07</t>
  </si>
  <si>
    <t>WDY-B-4</t>
  </si>
  <si>
    <t>mp20250312_38</t>
  </si>
  <si>
    <t>13:12</t>
  </si>
  <si>
    <t>WDY-B-5</t>
  </si>
  <si>
    <t>mp20250312_39</t>
  </si>
  <si>
    <t>13:17</t>
  </si>
  <si>
    <t>WDY-B-6</t>
  </si>
  <si>
    <t>mp20250312_40</t>
  </si>
  <si>
    <t>13:22</t>
  </si>
  <si>
    <t>WDY-B-7</t>
  </si>
  <si>
    <t>mp20250312_41</t>
  </si>
  <si>
    <t>13:26</t>
  </si>
  <si>
    <t>WDY-B-8</t>
  </si>
  <si>
    <t>mp20250312_42</t>
  </si>
  <si>
    <t>13:31</t>
  </si>
  <si>
    <t>WDY-B-9</t>
  </si>
  <si>
    <t>mp20250312_43</t>
  </si>
  <si>
    <t>13:36</t>
  </si>
  <si>
    <t>WDY-B-10</t>
  </si>
  <si>
    <t>mp20250312_44</t>
  </si>
  <si>
    <t>13:41</t>
  </si>
  <si>
    <t>WDY-H-1</t>
  </si>
  <si>
    <t>mp20250312_48</t>
  </si>
  <si>
    <t>14:00</t>
  </si>
  <si>
    <t>WDY-H-2</t>
  </si>
  <si>
    <t>mp20250312_49</t>
  </si>
  <si>
    <t>14:04</t>
  </si>
  <si>
    <t>WDY-H-3</t>
  </si>
  <si>
    <t>mp20250312_50</t>
  </si>
  <si>
    <t>14:09</t>
  </si>
  <si>
    <t>WDY-H-4</t>
  </si>
  <si>
    <t>mp20250312_51</t>
  </si>
  <si>
    <t>14:14</t>
  </si>
  <si>
    <t>WDY-H-5</t>
  </si>
  <si>
    <t>mp20250312_52</t>
  </si>
  <si>
    <t>14:19</t>
  </si>
  <si>
    <t>WDY-H-6</t>
  </si>
  <si>
    <t>mp20250312_53</t>
  </si>
  <si>
    <t>14:23</t>
  </si>
  <si>
    <t>WDY-H-7</t>
  </si>
  <si>
    <t>mp20250312_54</t>
  </si>
  <si>
    <t>14:28</t>
  </si>
  <si>
    <t>WDY-H-8</t>
  </si>
  <si>
    <t>mp20250312_55</t>
  </si>
  <si>
    <t>14:33</t>
  </si>
  <si>
    <t>WDY-H-9</t>
  </si>
  <si>
    <t>mp20250312_56</t>
  </si>
  <si>
    <t>14:38</t>
  </si>
  <si>
    <t>WDY-H-10</t>
  </si>
  <si>
    <t>mp20250312_57</t>
  </si>
  <si>
    <t>14:42</t>
  </si>
  <si>
    <t>HAW-B-1</t>
  </si>
  <si>
    <t>mp20250313_09</t>
  </si>
  <si>
    <t>13/03/2025</t>
  </si>
  <si>
    <t>HAW-B-2</t>
  </si>
  <si>
    <t>mp20250313_10</t>
  </si>
  <si>
    <t>HAW-B-3</t>
  </si>
  <si>
    <t>mp20250313_11</t>
  </si>
  <si>
    <t>HAW-B-4</t>
  </si>
  <si>
    <t>mp20250313_12</t>
  </si>
  <si>
    <t>12:43</t>
  </si>
  <si>
    <t>HAW-B-5</t>
  </si>
  <si>
    <t>mp20250313_13</t>
  </si>
  <si>
    <t>HAW-B-6</t>
  </si>
  <si>
    <t>mp20250313_14</t>
  </si>
  <si>
    <t>HAW-B-7</t>
  </si>
  <si>
    <t>mp20250313_15</t>
  </si>
  <si>
    <t>HAW-B-8</t>
  </si>
  <si>
    <t>mp20250313_16</t>
  </si>
  <si>
    <t>13:02</t>
  </si>
  <si>
    <t>HAW-B-9</t>
  </si>
  <si>
    <t>mp20250313_17</t>
  </si>
  <si>
    <t>HAW-B-10</t>
  </si>
  <si>
    <t>mp20250313_18</t>
  </si>
  <si>
    <t>HAW-H-1</t>
  </si>
  <si>
    <t>mp20250313_22</t>
  </si>
  <si>
    <t>HAW-H-2</t>
  </si>
  <si>
    <t>mp20250313_23</t>
  </si>
  <si>
    <t>13:35</t>
  </si>
  <si>
    <t>HAW-H-3</t>
  </si>
  <si>
    <t>mp20250313_24</t>
  </si>
  <si>
    <t>13:40</t>
  </si>
  <si>
    <t>HAW-H-4</t>
  </si>
  <si>
    <t>mp20250313_25</t>
  </si>
  <si>
    <t>HAW-H-5</t>
  </si>
  <si>
    <t>mp20250313_26</t>
  </si>
  <si>
    <t>HAW-H-6</t>
  </si>
  <si>
    <t>mp20250313_27</t>
  </si>
  <si>
    <t>13:54</t>
  </si>
  <si>
    <t>HAW-H-7</t>
  </si>
  <si>
    <t>mp20250313_28</t>
  </si>
  <si>
    <t>13:59</t>
  </si>
  <si>
    <t>HAW-H-8</t>
  </si>
  <si>
    <t>mp20250313_29</t>
  </si>
  <si>
    <t>HAW-H-9</t>
  </si>
  <si>
    <t>mp20250313_30</t>
  </si>
  <si>
    <t>HAW-H-10</t>
  </si>
  <si>
    <t>mp20250313_31</t>
  </si>
  <si>
    <t>14:13</t>
  </si>
  <si>
    <t>WHI-B-1</t>
  </si>
  <si>
    <t>mp20250313_35</t>
  </si>
  <si>
    <t>14:32</t>
  </si>
  <si>
    <t>WHI-B-2</t>
  </si>
  <si>
    <t>mp20250313_36</t>
  </si>
  <si>
    <t>WHI-B-3</t>
  </si>
  <si>
    <t>mp20250313_37</t>
  </si>
  <si>
    <t>WHI-B-4</t>
  </si>
  <si>
    <t>mp20250313_38</t>
  </si>
  <si>
    <t>WHI-B-5</t>
  </si>
  <si>
    <t>mp20250313_39</t>
  </si>
  <si>
    <t>14:51</t>
  </si>
  <si>
    <t>WHI-B-6</t>
  </si>
  <si>
    <t>mp20250313_40</t>
  </si>
  <si>
    <t>WHI-B-7</t>
  </si>
  <si>
    <t>mp20250313_41</t>
  </si>
  <si>
    <t>WHI-B-8</t>
  </si>
  <si>
    <t>mp20250313_42</t>
  </si>
  <si>
    <t>WHI-B-9</t>
  </si>
  <si>
    <t>mp20250313_43</t>
  </si>
  <si>
    <t>15:10</t>
  </si>
  <si>
    <t>WHI-B-10</t>
  </si>
  <si>
    <t>mp20250313_44</t>
  </si>
  <si>
    <t>WHI-H-1</t>
  </si>
  <si>
    <t>mp20250313_48</t>
  </si>
  <si>
    <t>15:33</t>
  </si>
  <si>
    <t>WHI-H-2</t>
  </si>
  <si>
    <t>mp20250313_49</t>
  </si>
  <si>
    <t>15:38</t>
  </si>
  <si>
    <t>WHI-H-3</t>
  </si>
  <si>
    <t>mp20250313_50</t>
  </si>
  <si>
    <t>15:43</t>
  </si>
  <si>
    <t>WHI-H-4</t>
  </si>
  <si>
    <t>mp20250313_51</t>
  </si>
  <si>
    <t>15:48</t>
  </si>
  <si>
    <t>WHI-H-5</t>
  </si>
  <si>
    <t>mp20250313_52</t>
  </si>
  <si>
    <t>15:52</t>
  </si>
  <si>
    <t>WHI-H-6</t>
  </si>
  <si>
    <t>mp20250313_53</t>
  </si>
  <si>
    <t>15:57</t>
  </si>
  <si>
    <t>WHI-H-7</t>
  </si>
  <si>
    <t>mp20250313_54</t>
  </si>
  <si>
    <t>16:02</t>
  </si>
  <si>
    <t>WHI-H-8</t>
  </si>
  <si>
    <t>mp20250313_55</t>
  </si>
  <si>
    <t>16:07</t>
  </si>
  <si>
    <t>WHI-H-9</t>
  </si>
  <si>
    <t>mp20250313_56</t>
  </si>
  <si>
    <t>16:11</t>
  </si>
  <si>
    <t>WHI-H-10</t>
  </si>
  <si>
    <t>mp20250313_57</t>
  </si>
  <si>
    <t>16:16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</si>
</sst>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Open Sans"/>
      <scheme val="minor"/>
    </font>
    <font>
      <sz val="10.0"/>
      <color rgb="FF000000"/>
      <name val="Calibri"/>
    </font>
    <font>
      <sz val="10.0"/>
      <color theme="1"/>
      <name val="Calibri"/>
    </font>
    <font>
      <sz val="8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vertical="top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7.71"/>
    <col customWidth="1" min="3" max="5" width="11.86"/>
    <col customWidth="1" min="6" max="6" width="10.43"/>
    <col customWidth="1" min="7" max="8" width="11.86"/>
    <col customWidth="1" min="9" max="9" width="13.0"/>
    <col customWidth="1" min="10" max="10" width="12.86"/>
    <col customWidth="1" min="11" max="11" width="19.14"/>
    <col customWidth="1" min="12" max="12" width="19.0"/>
    <col customWidth="1" min="13" max="13" width="19.14"/>
    <col customWidth="1" min="14" max="14" width="19.0"/>
    <col customWidth="1" min="15" max="30" width="11.8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2.75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5.68</v>
      </c>
      <c r="G2" s="3">
        <v>1.2168643474578857</v>
      </c>
      <c r="H2" s="3">
        <v>39.13719940185547</v>
      </c>
      <c r="I2" s="4">
        <v>1.3084715871466566</v>
      </c>
      <c r="J2" s="4">
        <v>42.022428206396185</v>
      </c>
      <c r="K2" s="3">
        <f t="shared" ref="K2:K121" si="1">(I2/100)*F2</f>
        <v>0.07432118615</v>
      </c>
      <c r="L2" s="3">
        <f t="shared" ref="L2:L121" si="2">(J2/100)*F2</f>
        <v>2.386873922</v>
      </c>
      <c r="M2" s="3">
        <f t="shared" ref="M2:M121" si="3">(K2/1000)/(F2/1000000)</f>
        <v>13.08471587</v>
      </c>
      <c r="N2" s="3">
        <f t="shared" ref="N2:N121" si="4">(L2/1000)/(F2/1000000)</f>
        <v>420.2242821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2.75" customHeight="1">
      <c r="A3" s="3" t="s">
        <v>19</v>
      </c>
      <c r="B3" s="3" t="s">
        <v>20</v>
      </c>
      <c r="C3" s="3" t="s">
        <v>16</v>
      </c>
      <c r="D3" s="3" t="s">
        <v>21</v>
      </c>
      <c r="E3" s="3" t="s">
        <v>18</v>
      </c>
      <c r="F3" s="3">
        <v>11.527</v>
      </c>
      <c r="G3" s="3">
        <v>0.4018527567386627</v>
      </c>
      <c r="H3" s="3">
        <v>10.956056594848633</v>
      </c>
      <c r="I3" s="4">
        <v>0.4304222274716484</v>
      </c>
      <c r="J3" s="4">
        <v>11.735105374162305</v>
      </c>
      <c r="K3" s="3">
        <f t="shared" si="1"/>
        <v>0.04961477016</v>
      </c>
      <c r="L3" s="3">
        <f t="shared" si="2"/>
        <v>1.352705596</v>
      </c>
      <c r="M3" s="3">
        <f t="shared" si="3"/>
        <v>4.304222275</v>
      </c>
      <c r="N3" s="3">
        <f t="shared" si="4"/>
        <v>117.3510537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2.75" customHeight="1">
      <c r="A4" s="3" t="s">
        <v>22</v>
      </c>
      <c r="B4" s="3" t="s">
        <v>23</v>
      </c>
      <c r="C4" s="3" t="s">
        <v>16</v>
      </c>
      <c r="D4" s="3" t="s">
        <v>24</v>
      </c>
      <c r="E4" s="3" t="s">
        <v>18</v>
      </c>
      <c r="F4" s="3">
        <v>5.689</v>
      </c>
      <c r="G4" s="3">
        <v>0.46831637620925903</v>
      </c>
      <c r="H4" s="3">
        <v>12.894996643066406</v>
      </c>
      <c r="I4" s="4">
        <v>0.4996653714529641</v>
      </c>
      <c r="J4" s="4">
        <v>13.778370307592565</v>
      </c>
      <c r="K4" s="3">
        <f t="shared" si="1"/>
        <v>0.02842596298</v>
      </c>
      <c r="L4" s="3">
        <f t="shared" si="2"/>
        <v>0.7838514868</v>
      </c>
      <c r="M4" s="3">
        <f t="shared" si="3"/>
        <v>4.996653715</v>
      </c>
      <c r="N4" s="3">
        <f t="shared" si="4"/>
        <v>137.7837031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2.75" customHeight="1">
      <c r="A5" s="3" t="s">
        <v>25</v>
      </c>
      <c r="B5" s="3" t="s">
        <v>26</v>
      </c>
      <c r="C5" s="3" t="s">
        <v>16</v>
      </c>
      <c r="D5" s="3" t="s">
        <v>27</v>
      </c>
      <c r="E5" s="3" t="s">
        <v>18</v>
      </c>
      <c r="F5" s="3">
        <v>6.298</v>
      </c>
      <c r="G5" s="3">
        <v>1.073279857635498</v>
      </c>
      <c r="H5" s="3">
        <v>29.484107971191406</v>
      </c>
      <c r="I5" s="4">
        <v>1.1407003078290507</v>
      </c>
      <c r="J5" s="4">
        <v>31.427586742030083</v>
      </c>
      <c r="K5" s="3">
        <f t="shared" si="1"/>
        <v>0.07184130539</v>
      </c>
      <c r="L5" s="3">
        <f t="shared" si="2"/>
        <v>1.979309413</v>
      </c>
      <c r="M5" s="3">
        <f t="shared" si="3"/>
        <v>11.40700308</v>
      </c>
      <c r="N5" s="3">
        <f t="shared" si="4"/>
        <v>314.2758674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2.75" customHeight="1">
      <c r="A6" s="3" t="s">
        <v>28</v>
      </c>
      <c r="B6" s="3" t="s">
        <v>29</v>
      </c>
      <c r="C6" s="3" t="s">
        <v>16</v>
      </c>
      <c r="D6" s="3" t="s">
        <v>30</v>
      </c>
      <c r="E6" s="3" t="s">
        <v>18</v>
      </c>
      <c r="F6" s="3">
        <v>6.646</v>
      </c>
      <c r="G6" s="3">
        <v>0.9053724408149719</v>
      </c>
      <c r="H6" s="3">
        <v>24.448205947875977</v>
      </c>
      <c r="I6" s="4">
        <v>0.9585417859284122</v>
      </c>
      <c r="J6" s="4">
        <v>25.996747220957417</v>
      </c>
      <c r="K6" s="3">
        <f t="shared" si="1"/>
        <v>0.06370468709</v>
      </c>
      <c r="L6" s="3">
        <f t="shared" si="2"/>
        <v>1.72774382</v>
      </c>
      <c r="M6" s="3">
        <f t="shared" si="3"/>
        <v>9.585417859</v>
      </c>
      <c r="N6" s="3">
        <f t="shared" si="4"/>
        <v>259.9674722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2.75" customHeight="1">
      <c r="A7" s="3" t="s">
        <v>31</v>
      </c>
      <c r="B7" s="3" t="s">
        <v>32</v>
      </c>
      <c r="C7" s="3" t="s">
        <v>16</v>
      </c>
      <c r="D7" s="3" t="s">
        <v>33</v>
      </c>
      <c r="E7" s="3" t="s">
        <v>18</v>
      </c>
      <c r="F7" s="3">
        <v>6.224</v>
      </c>
      <c r="G7" s="3">
        <v>0.33977192640304565</v>
      </c>
      <c r="H7" s="3">
        <v>11.348799705505371</v>
      </c>
      <c r="I7" s="4">
        <v>0.3583462859956513</v>
      </c>
      <c r="J7" s="4">
        <v>12.038530790709093</v>
      </c>
      <c r="K7" s="3">
        <f t="shared" si="1"/>
        <v>0.02230347284</v>
      </c>
      <c r="L7" s="3">
        <f t="shared" si="2"/>
        <v>0.7492781564</v>
      </c>
      <c r="M7" s="3">
        <f t="shared" si="3"/>
        <v>3.58346286</v>
      </c>
      <c r="N7" s="3">
        <f t="shared" si="4"/>
        <v>120.3853079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2.75" customHeight="1">
      <c r="A8" s="3" t="s">
        <v>34</v>
      </c>
      <c r="B8" s="3" t="s">
        <v>35</v>
      </c>
      <c r="C8" s="3" t="s">
        <v>16</v>
      </c>
      <c r="D8" s="3" t="s">
        <v>36</v>
      </c>
      <c r="E8" s="3" t="s">
        <v>18</v>
      </c>
      <c r="F8" s="3">
        <v>9.196</v>
      </c>
      <c r="G8" s="3">
        <v>0.8848831653594971</v>
      </c>
      <c r="H8" s="3">
        <v>24.426729202270508</v>
      </c>
      <c r="I8" s="4">
        <v>0.929692544357532</v>
      </c>
      <c r="J8" s="4">
        <v>25.84895151869168</v>
      </c>
      <c r="K8" s="3">
        <f t="shared" si="1"/>
        <v>0.08549452638</v>
      </c>
      <c r="L8" s="3">
        <f t="shared" si="2"/>
        <v>2.377069582</v>
      </c>
      <c r="M8" s="3">
        <f t="shared" si="3"/>
        <v>9.296925444</v>
      </c>
      <c r="N8" s="3">
        <f t="shared" si="4"/>
        <v>258.4895152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2.75" customHeight="1">
      <c r="A9" s="3" t="s">
        <v>37</v>
      </c>
      <c r="B9" s="3" t="s">
        <v>38</v>
      </c>
      <c r="C9" s="3" t="s">
        <v>16</v>
      </c>
      <c r="D9" s="3" t="s">
        <v>39</v>
      </c>
      <c r="E9" s="3" t="s">
        <v>18</v>
      </c>
      <c r="F9" s="3">
        <v>9.584</v>
      </c>
      <c r="G9" s="3">
        <v>0.328416109085083</v>
      </c>
      <c r="H9" s="3">
        <v>7.994686603546143</v>
      </c>
      <c r="I9" s="4">
        <v>0.3437337569437333</v>
      </c>
      <c r="J9" s="4">
        <v>8.4398673564022</v>
      </c>
      <c r="K9" s="3">
        <f t="shared" si="1"/>
        <v>0.03294344327</v>
      </c>
      <c r="L9" s="3">
        <f t="shared" si="2"/>
        <v>0.8088768874</v>
      </c>
      <c r="M9" s="3">
        <f t="shared" si="3"/>
        <v>3.437337569</v>
      </c>
      <c r="N9" s="3">
        <f t="shared" si="4"/>
        <v>84.39867356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2.75" customHeight="1">
      <c r="A10" s="3" t="s">
        <v>40</v>
      </c>
      <c r="B10" s="3" t="s">
        <v>41</v>
      </c>
      <c r="C10" s="3" t="s">
        <v>16</v>
      </c>
      <c r="D10" s="3" t="s">
        <v>42</v>
      </c>
      <c r="E10" s="3" t="s">
        <v>18</v>
      </c>
      <c r="F10" s="3">
        <v>6.159</v>
      </c>
      <c r="G10" s="3">
        <v>1.9167020320892334</v>
      </c>
      <c r="H10" s="3">
        <v>45.19868850708008</v>
      </c>
      <c r="I10" s="4">
        <v>1.9984945249514718</v>
      </c>
      <c r="J10" s="4">
        <v>47.60132880484117</v>
      </c>
      <c r="K10" s="3">
        <f t="shared" si="1"/>
        <v>0.1230872778</v>
      </c>
      <c r="L10" s="3">
        <f t="shared" si="2"/>
        <v>2.931765841</v>
      </c>
      <c r="M10" s="3">
        <f t="shared" si="3"/>
        <v>19.98494525</v>
      </c>
      <c r="N10" s="3">
        <f t="shared" si="4"/>
        <v>476.013288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2.75" customHeight="1">
      <c r="A11" s="3" t="s">
        <v>43</v>
      </c>
      <c r="B11" s="3" t="s">
        <v>44</v>
      </c>
      <c r="C11" s="3" t="s">
        <v>16</v>
      </c>
      <c r="D11" s="3" t="s">
        <v>45</v>
      </c>
      <c r="E11" s="3" t="s">
        <v>18</v>
      </c>
      <c r="F11" s="3">
        <v>6.334</v>
      </c>
      <c r="G11" s="3">
        <v>1.7775206565856934</v>
      </c>
      <c r="H11" s="3">
        <v>44.77934646606445</v>
      </c>
      <c r="I11" s="4">
        <v>1.8463749614314566</v>
      </c>
      <c r="J11" s="4">
        <v>47.04706761253037</v>
      </c>
      <c r="K11" s="3">
        <f t="shared" si="1"/>
        <v>0.1169493901</v>
      </c>
      <c r="L11" s="3">
        <f t="shared" si="2"/>
        <v>2.979961263</v>
      </c>
      <c r="M11" s="3">
        <f t="shared" si="3"/>
        <v>18.46374961</v>
      </c>
      <c r="N11" s="3">
        <f t="shared" si="4"/>
        <v>470.4706761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2.75" customHeight="1">
      <c r="A12" s="3" t="s">
        <v>46</v>
      </c>
      <c r="B12" s="3" t="s">
        <v>47</v>
      </c>
      <c r="C12" s="3" t="s">
        <v>16</v>
      </c>
      <c r="D12" s="3" t="s">
        <v>48</v>
      </c>
      <c r="E12" s="3" t="s">
        <v>18</v>
      </c>
      <c r="F12" s="3">
        <v>6.432</v>
      </c>
      <c r="G12" s="3">
        <v>0.4727320671081543</v>
      </c>
      <c r="H12" s="3">
        <v>11.263315200805664</v>
      </c>
      <c r="I12" s="4">
        <v>0.48453978229487726</v>
      </c>
      <c r="J12" s="4">
        <v>11.714711870088962</v>
      </c>
      <c r="K12" s="3">
        <f t="shared" si="1"/>
        <v>0.0311655988</v>
      </c>
      <c r="L12" s="3">
        <f t="shared" si="2"/>
        <v>0.7534902675</v>
      </c>
      <c r="M12" s="3">
        <f t="shared" si="3"/>
        <v>4.845397823</v>
      </c>
      <c r="N12" s="3">
        <f t="shared" si="4"/>
        <v>117.1471187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2.75" customHeight="1">
      <c r="A13" s="3" t="s">
        <v>49</v>
      </c>
      <c r="B13" s="3" t="s">
        <v>50</v>
      </c>
      <c r="C13" s="3" t="s">
        <v>16</v>
      </c>
      <c r="D13" s="3" t="s">
        <v>51</v>
      </c>
      <c r="E13" s="3" t="s">
        <v>18</v>
      </c>
      <c r="F13" s="3">
        <v>10.938</v>
      </c>
      <c r="G13" s="3">
        <v>0.38179337978363037</v>
      </c>
      <c r="H13" s="3">
        <v>12.633545875549316</v>
      </c>
      <c r="I13" s="4">
        <v>0.38907575356523255</v>
      </c>
      <c r="J13" s="4">
        <v>13.070222134584805</v>
      </c>
      <c r="K13" s="3">
        <f t="shared" si="1"/>
        <v>0.04255710592</v>
      </c>
      <c r="L13" s="3">
        <f t="shared" si="2"/>
        <v>1.429620897</v>
      </c>
      <c r="M13" s="3">
        <f t="shared" si="3"/>
        <v>3.890757536</v>
      </c>
      <c r="N13" s="3">
        <f t="shared" si="4"/>
        <v>130.7022213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2.75" customHeight="1">
      <c r="A14" s="3" t="s">
        <v>52</v>
      </c>
      <c r="B14" s="3" t="s">
        <v>53</v>
      </c>
      <c r="C14" s="3" t="s">
        <v>16</v>
      </c>
      <c r="D14" s="3" t="s">
        <v>54</v>
      </c>
      <c r="E14" s="3" t="s">
        <v>18</v>
      </c>
      <c r="F14" s="3">
        <v>5.727</v>
      </c>
      <c r="G14" s="3">
        <v>1.3755903244018555</v>
      </c>
      <c r="H14" s="3">
        <v>44.11228942871094</v>
      </c>
      <c r="I14" s="4">
        <v>1.3938008477327986</v>
      </c>
      <c r="J14" s="4">
        <v>45.396448482142446</v>
      </c>
      <c r="K14" s="3">
        <f t="shared" si="1"/>
        <v>0.07982297455</v>
      </c>
      <c r="L14" s="3">
        <f t="shared" si="2"/>
        <v>2.599854605</v>
      </c>
      <c r="M14" s="3">
        <f t="shared" si="3"/>
        <v>13.93800848</v>
      </c>
      <c r="N14" s="3">
        <f t="shared" si="4"/>
        <v>453.9644848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2.75" customHeight="1">
      <c r="A15" s="3" t="s">
        <v>55</v>
      </c>
      <c r="B15" s="3" t="s">
        <v>56</v>
      </c>
      <c r="C15" s="3" t="s">
        <v>16</v>
      </c>
      <c r="D15" s="3" t="s">
        <v>57</v>
      </c>
      <c r="E15" s="3" t="s">
        <v>18</v>
      </c>
      <c r="F15" s="3">
        <v>5.933</v>
      </c>
      <c r="G15" s="3">
        <v>0.09591791033744812</v>
      </c>
      <c r="H15" s="3">
        <v>3.148207664489746</v>
      </c>
      <c r="I15" s="4">
        <v>0.09663431294923834</v>
      </c>
      <c r="J15" s="4">
        <v>3.2228659813472476</v>
      </c>
      <c r="K15" s="3">
        <f t="shared" si="1"/>
        <v>0.005733313787</v>
      </c>
      <c r="L15" s="3">
        <f t="shared" si="2"/>
        <v>0.1912126387</v>
      </c>
      <c r="M15" s="3">
        <f t="shared" si="3"/>
        <v>0.9663431295</v>
      </c>
      <c r="N15" s="3">
        <f t="shared" si="4"/>
        <v>32.22865981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2.75" customHeight="1">
      <c r="A16" s="3" t="s">
        <v>58</v>
      </c>
      <c r="B16" s="3" t="s">
        <v>59</v>
      </c>
      <c r="C16" s="3" t="s">
        <v>16</v>
      </c>
      <c r="D16" s="3" t="s">
        <v>60</v>
      </c>
      <c r="E16" s="3" t="s">
        <v>18</v>
      </c>
      <c r="F16" s="3">
        <v>12.046</v>
      </c>
      <c r="G16" s="3">
        <v>0.10307376831769943</v>
      </c>
      <c r="H16" s="3">
        <v>4.669209957122803</v>
      </c>
      <c r="I16" s="4">
        <v>0.10325567332217335</v>
      </c>
      <c r="J16" s="4">
        <v>4.755003172073182</v>
      </c>
      <c r="K16" s="3">
        <f t="shared" si="1"/>
        <v>0.01243817841</v>
      </c>
      <c r="L16" s="3">
        <f t="shared" si="2"/>
        <v>0.5727876821</v>
      </c>
      <c r="M16" s="3">
        <f t="shared" si="3"/>
        <v>1.032556733</v>
      </c>
      <c r="N16" s="3">
        <f t="shared" si="4"/>
        <v>47.55003172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2.75" customHeight="1">
      <c r="A17" s="3" t="s">
        <v>61</v>
      </c>
      <c r="B17" s="3" t="s">
        <v>62</v>
      </c>
      <c r="C17" s="3" t="s">
        <v>16</v>
      </c>
      <c r="D17" s="3" t="s">
        <v>63</v>
      </c>
      <c r="E17" s="3" t="s">
        <v>18</v>
      </c>
      <c r="F17" s="3">
        <v>7.582</v>
      </c>
      <c r="G17" s="3">
        <v>0.15928098559379578</v>
      </c>
      <c r="H17" s="3">
        <v>4.690744876861572</v>
      </c>
      <c r="I17" s="4">
        <v>0.15866377536474227</v>
      </c>
      <c r="J17" s="4">
        <v>4.752143911573772</v>
      </c>
      <c r="K17" s="3">
        <f t="shared" si="1"/>
        <v>0.01202988745</v>
      </c>
      <c r="L17" s="3">
        <f t="shared" si="2"/>
        <v>0.3603075514</v>
      </c>
      <c r="M17" s="3">
        <f t="shared" si="3"/>
        <v>1.586637754</v>
      </c>
      <c r="N17" s="3">
        <f t="shared" si="4"/>
        <v>47.52143912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2.75" customHeight="1">
      <c r="A18" s="3" t="s">
        <v>64</v>
      </c>
      <c r="B18" s="3" t="s">
        <v>65</v>
      </c>
      <c r="C18" s="3" t="s">
        <v>16</v>
      </c>
      <c r="D18" s="3" t="s">
        <v>66</v>
      </c>
      <c r="E18" s="3" t="s">
        <v>18</v>
      </c>
      <c r="F18" s="3">
        <v>11.358</v>
      </c>
      <c r="G18" s="3">
        <v>0.4857701063156128</v>
      </c>
      <c r="H18" s="3">
        <v>16.49647331237793</v>
      </c>
      <c r="I18" s="4">
        <v>0.48117880022680704</v>
      </c>
      <c r="J18" s="4">
        <v>16.62612293711615</v>
      </c>
      <c r="K18" s="3">
        <f t="shared" si="1"/>
        <v>0.05465228813</v>
      </c>
      <c r="L18" s="3">
        <f t="shared" si="2"/>
        <v>1.888395043</v>
      </c>
      <c r="M18" s="3">
        <f t="shared" si="3"/>
        <v>4.811788002</v>
      </c>
      <c r="N18" s="3">
        <f t="shared" si="4"/>
        <v>166.2612294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2.75" customHeight="1">
      <c r="A19" s="3" t="s">
        <v>67</v>
      </c>
      <c r="B19" s="3" t="s">
        <v>68</v>
      </c>
      <c r="C19" s="3" t="s">
        <v>16</v>
      </c>
      <c r="D19" s="3" t="s">
        <v>69</v>
      </c>
      <c r="E19" s="3" t="s">
        <v>18</v>
      </c>
      <c r="F19" s="3">
        <v>7.793</v>
      </c>
      <c r="G19" s="3">
        <v>1.6053043603897095</v>
      </c>
      <c r="H19" s="3">
        <v>44.67140579223633</v>
      </c>
      <c r="I19" s="4">
        <v>1.581279159797783</v>
      </c>
      <c r="J19" s="4">
        <v>44.79124575280732</v>
      </c>
      <c r="K19" s="3">
        <f t="shared" si="1"/>
        <v>0.1232290849</v>
      </c>
      <c r="L19" s="3">
        <f t="shared" si="2"/>
        <v>3.490581782</v>
      </c>
      <c r="M19" s="3">
        <f t="shared" si="3"/>
        <v>15.8127916</v>
      </c>
      <c r="N19" s="3">
        <f t="shared" si="4"/>
        <v>447.9124575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2.75" customHeight="1">
      <c r="A20" s="3" t="s">
        <v>70</v>
      </c>
      <c r="B20" s="3" t="s">
        <v>71</v>
      </c>
      <c r="C20" s="3" t="s">
        <v>16</v>
      </c>
      <c r="D20" s="3" t="s">
        <v>72</v>
      </c>
      <c r="E20" s="3" t="s">
        <v>18</v>
      </c>
      <c r="F20" s="3">
        <v>7.857</v>
      </c>
      <c r="G20" s="3">
        <v>1.421713948249817</v>
      </c>
      <c r="H20" s="3">
        <v>43.86854553222656</v>
      </c>
      <c r="I20" s="4">
        <v>1.39268302466453</v>
      </c>
      <c r="J20" s="4">
        <v>43.76146397666075</v>
      </c>
      <c r="K20" s="3">
        <f t="shared" si="1"/>
        <v>0.1094231052</v>
      </c>
      <c r="L20" s="3">
        <f t="shared" si="2"/>
        <v>3.438338225</v>
      </c>
      <c r="M20" s="3">
        <f t="shared" si="3"/>
        <v>13.92683025</v>
      </c>
      <c r="N20" s="3">
        <f t="shared" si="4"/>
        <v>437.6146398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2.75" customHeight="1">
      <c r="A21" s="3" t="s">
        <v>73</v>
      </c>
      <c r="B21" s="3" t="s">
        <v>74</v>
      </c>
      <c r="C21" s="3" t="s">
        <v>16</v>
      </c>
      <c r="D21" s="3" t="s">
        <v>75</v>
      </c>
      <c r="E21" s="3" t="s">
        <v>18</v>
      </c>
      <c r="F21" s="3">
        <v>6.626</v>
      </c>
      <c r="G21" s="3">
        <v>0.2678152024745941</v>
      </c>
      <c r="H21" s="3">
        <v>9.761014938354492</v>
      </c>
      <c r="I21" s="4">
        <v>0.2609020593954911</v>
      </c>
      <c r="J21" s="4">
        <v>9.687686213646247</v>
      </c>
      <c r="K21" s="3">
        <f t="shared" si="1"/>
        <v>0.01728737046</v>
      </c>
      <c r="L21" s="3">
        <f t="shared" si="2"/>
        <v>0.6419060885</v>
      </c>
      <c r="M21" s="3">
        <f t="shared" si="3"/>
        <v>2.609020594</v>
      </c>
      <c r="N21" s="3">
        <f t="shared" si="4"/>
        <v>96.87686214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2.75" customHeight="1">
      <c r="A22" s="3" t="s">
        <v>76</v>
      </c>
      <c r="B22" s="3" t="s">
        <v>77</v>
      </c>
      <c r="C22" s="3" t="s">
        <v>16</v>
      </c>
      <c r="D22" s="3" t="s">
        <v>78</v>
      </c>
      <c r="E22" s="3" t="s">
        <v>18</v>
      </c>
      <c r="F22" s="3">
        <v>6.219</v>
      </c>
      <c r="G22" s="3">
        <v>0.3139391839504242</v>
      </c>
      <c r="H22" s="3">
        <v>4.630817890167236</v>
      </c>
      <c r="I22" s="4">
        <v>0.3024889081544849</v>
      </c>
      <c r="J22" s="4">
        <v>4.551048162873461</v>
      </c>
      <c r="K22" s="3">
        <f t="shared" si="1"/>
        <v>0.0188117852</v>
      </c>
      <c r="L22" s="3">
        <f t="shared" si="2"/>
        <v>0.2830296852</v>
      </c>
      <c r="M22" s="3">
        <f t="shared" si="3"/>
        <v>3.024889082</v>
      </c>
      <c r="N22" s="3">
        <f t="shared" si="4"/>
        <v>45.51048163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2.75" customHeight="1">
      <c r="A23" s="3" t="s">
        <v>79</v>
      </c>
      <c r="B23" s="3" t="s">
        <v>80</v>
      </c>
      <c r="C23" s="3" t="s">
        <v>16</v>
      </c>
      <c r="D23" s="3" t="s">
        <v>81</v>
      </c>
      <c r="E23" s="3" t="s">
        <v>18</v>
      </c>
      <c r="F23" s="3">
        <v>6.339</v>
      </c>
      <c r="G23" s="3">
        <v>1.8034133911132812</v>
      </c>
      <c r="H23" s="3">
        <v>43.844078063964844</v>
      </c>
      <c r="I23" s="4">
        <v>1.7375492222770805</v>
      </c>
      <c r="J23" s="4">
        <v>43.10095514681044</v>
      </c>
      <c r="K23" s="3">
        <f t="shared" si="1"/>
        <v>0.1101432452</v>
      </c>
      <c r="L23" s="3">
        <f t="shared" si="2"/>
        <v>2.732169547</v>
      </c>
      <c r="M23" s="3">
        <f t="shared" si="3"/>
        <v>17.37549222</v>
      </c>
      <c r="N23" s="3">
        <f t="shared" si="4"/>
        <v>431.0095515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2.75" customHeight="1">
      <c r="A24" s="3" t="s">
        <v>82</v>
      </c>
      <c r="B24" s="3" t="s">
        <v>83</v>
      </c>
      <c r="C24" s="3" t="s">
        <v>16</v>
      </c>
      <c r="D24" s="3" t="s">
        <v>84</v>
      </c>
      <c r="E24" s="3" t="s">
        <v>18</v>
      </c>
      <c r="F24" s="3">
        <v>6.337</v>
      </c>
      <c r="G24" s="3">
        <v>1.5595139265060425</v>
      </c>
      <c r="H24" s="3">
        <v>39.402774810791016</v>
      </c>
      <c r="I24" s="4">
        <v>1.5024807151518973</v>
      </c>
      <c r="J24" s="4">
        <v>38.74583354407922</v>
      </c>
      <c r="K24" s="3">
        <f t="shared" si="1"/>
        <v>0.09521220292</v>
      </c>
      <c r="L24" s="3">
        <f t="shared" si="2"/>
        <v>2.455323472</v>
      </c>
      <c r="M24" s="3">
        <f t="shared" si="3"/>
        <v>15.02480715</v>
      </c>
      <c r="N24" s="3">
        <f t="shared" si="4"/>
        <v>387.4583354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2.75" customHeight="1">
      <c r="A25" s="3" t="s">
        <v>85</v>
      </c>
      <c r="B25" s="3" t="s">
        <v>86</v>
      </c>
      <c r="C25" s="3" t="s">
        <v>16</v>
      </c>
      <c r="D25" s="3" t="s">
        <v>87</v>
      </c>
      <c r="E25" s="3" t="s">
        <v>18</v>
      </c>
      <c r="F25" s="3">
        <v>6.816</v>
      </c>
      <c r="G25" s="3">
        <v>1.1718672513961792</v>
      </c>
      <c r="H25" s="3">
        <v>31.90142822265625</v>
      </c>
      <c r="I25" s="4">
        <v>1.1289532121175834</v>
      </c>
      <c r="J25" s="4">
        <v>31.378389703951083</v>
      </c>
      <c r="K25" s="3">
        <f t="shared" si="1"/>
        <v>0.07694945094</v>
      </c>
      <c r="L25" s="3">
        <f t="shared" si="2"/>
        <v>2.138751042</v>
      </c>
      <c r="M25" s="3">
        <f t="shared" si="3"/>
        <v>11.28953212</v>
      </c>
      <c r="N25" s="3">
        <f t="shared" si="4"/>
        <v>313.783897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2.75" customHeight="1">
      <c r="A26" s="3" t="s">
        <v>88</v>
      </c>
      <c r="B26" s="3" t="s">
        <v>89</v>
      </c>
      <c r="C26" s="3" t="s">
        <v>16</v>
      </c>
      <c r="D26" s="3" t="s">
        <v>90</v>
      </c>
      <c r="E26" s="3" t="s">
        <v>18</v>
      </c>
      <c r="F26" s="3">
        <v>8.502</v>
      </c>
      <c r="G26" s="3">
        <v>0.5475826859474182</v>
      </c>
      <c r="H26" s="3">
        <v>12.922988891601562</v>
      </c>
      <c r="I26" s="4">
        <v>0.5275032458178288</v>
      </c>
      <c r="J26" s="4">
        <v>12.714691159576539</v>
      </c>
      <c r="K26" s="3">
        <f t="shared" si="1"/>
        <v>0.04484832596</v>
      </c>
      <c r="L26" s="3">
        <f t="shared" si="2"/>
        <v>1.081003042</v>
      </c>
      <c r="M26" s="3">
        <f t="shared" si="3"/>
        <v>5.275032458</v>
      </c>
      <c r="N26" s="3">
        <f t="shared" si="4"/>
        <v>127.1469116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2.75" customHeight="1">
      <c r="A27" s="3" t="s">
        <v>91</v>
      </c>
      <c r="B27" s="3" t="s">
        <v>92</v>
      </c>
      <c r="C27" s="3" t="s">
        <v>16</v>
      </c>
      <c r="D27" s="3" t="s">
        <v>93</v>
      </c>
      <c r="E27" s="3" t="s">
        <v>18</v>
      </c>
      <c r="F27" s="3">
        <v>6.631</v>
      </c>
      <c r="G27" s="3">
        <v>0.9762771129608154</v>
      </c>
      <c r="H27" s="3">
        <v>21.17910385131836</v>
      </c>
      <c r="I27" s="4">
        <v>0.9404298558248307</v>
      </c>
      <c r="J27" s="4">
        <v>20.84360341030785</v>
      </c>
      <c r="K27" s="3">
        <f t="shared" si="1"/>
        <v>0.06235990374</v>
      </c>
      <c r="L27" s="3">
        <f t="shared" si="2"/>
        <v>1.382139342</v>
      </c>
      <c r="M27" s="3">
        <f t="shared" si="3"/>
        <v>9.404298558</v>
      </c>
      <c r="N27" s="3">
        <f t="shared" si="4"/>
        <v>208.4360341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2.75" customHeight="1">
      <c r="A28" s="3" t="s">
        <v>94</v>
      </c>
      <c r="B28" s="3" t="s">
        <v>95</v>
      </c>
      <c r="C28" s="3" t="s">
        <v>16</v>
      </c>
      <c r="D28" s="3" t="s">
        <v>96</v>
      </c>
      <c r="E28" s="3" t="s">
        <v>18</v>
      </c>
      <c r="F28" s="3">
        <v>5.901</v>
      </c>
      <c r="G28" s="3">
        <v>1.8896695375442505</v>
      </c>
      <c r="H28" s="3">
        <v>41.80359649658203</v>
      </c>
      <c r="I28" s="4">
        <v>1.8201913315206562</v>
      </c>
      <c r="J28" s="4">
        <v>41.152980977223166</v>
      </c>
      <c r="K28" s="3">
        <f t="shared" si="1"/>
        <v>0.1074094905</v>
      </c>
      <c r="L28" s="3">
        <f t="shared" si="2"/>
        <v>2.428437407</v>
      </c>
      <c r="M28" s="3">
        <f t="shared" si="3"/>
        <v>18.20191332</v>
      </c>
      <c r="N28" s="3">
        <f t="shared" si="4"/>
        <v>411.5298098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2.75" customHeight="1">
      <c r="A29" s="3" t="s">
        <v>97</v>
      </c>
      <c r="B29" s="3" t="s">
        <v>98</v>
      </c>
      <c r="C29" s="3" t="s">
        <v>16</v>
      </c>
      <c r="D29" s="3" t="s">
        <v>99</v>
      </c>
      <c r="E29" s="3" t="s">
        <v>18</v>
      </c>
      <c r="F29" s="3">
        <v>10.207</v>
      </c>
      <c r="G29" s="3">
        <v>0.7881143689155579</v>
      </c>
      <c r="H29" s="3">
        <v>17.86780548095703</v>
      </c>
      <c r="I29" s="4">
        <v>0.7590987811781695</v>
      </c>
      <c r="J29" s="4">
        <v>17.59467583674018</v>
      </c>
      <c r="K29" s="3">
        <f t="shared" si="1"/>
        <v>0.07748121259</v>
      </c>
      <c r="L29" s="3">
        <f t="shared" si="2"/>
        <v>1.795888563</v>
      </c>
      <c r="M29" s="3">
        <f t="shared" si="3"/>
        <v>7.590987812</v>
      </c>
      <c r="N29" s="3">
        <f t="shared" si="4"/>
        <v>175.9467584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2.75" customHeight="1">
      <c r="A30" s="3" t="s">
        <v>100</v>
      </c>
      <c r="B30" s="3" t="s">
        <v>101</v>
      </c>
      <c r="C30" s="3" t="s">
        <v>16</v>
      </c>
      <c r="D30" s="3" t="s">
        <v>102</v>
      </c>
      <c r="E30" s="3" t="s">
        <v>18</v>
      </c>
      <c r="F30" s="3">
        <v>9.523</v>
      </c>
      <c r="G30" s="3">
        <v>0.8162319660186768</v>
      </c>
      <c r="H30" s="3">
        <v>18.625574111938477</v>
      </c>
      <c r="I30" s="4">
        <v>0.7861411801732743</v>
      </c>
      <c r="J30" s="4">
        <v>18.34603542612248</v>
      </c>
      <c r="K30" s="3">
        <f t="shared" si="1"/>
        <v>0.07486422459</v>
      </c>
      <c r="L30" s="3">
        <f t="shared" si="2"/>
        <v>1.747092954</v>
      </c>
      <c r="M30" s="3">
        <f t="shared" si="3"/>
        <v>7.861411802</v>
      </c>
      <c r="N30" s="3">
        <f t="shared" si="4"/>
        <v>183.4603543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2.75" customHeight="1">
      <c r="A31" s="3" t="s">
        <v>103</v>
      </c>
      <c r="B31" s="3" t="s">
        <v>104</v>
      </c>
      <c r="C31" s="3" t="s">
        <v>16</v>
      </c>
      <c r="D31" s="3" t="s">
        <v>105</v>
      </c>
      <c r="E31" s="3" t="s">
        <v>18</v>
      </c>
      <c r="F31" s="3">
        <v>7.263</v>
      </c>
      <c r="G31" s="3">
        <v>0.3517570495605469</v>
      </c>
      <c r="H31" s="3">
        <v>6.739246368408203</v>
      </c>
      <c r="I31" s="4">
        <v>0.3387720911136593</v>
      </c>
      <c r="J31" s="4">
        <v>6.6399744474084725</v>
      </c>
      <c r="K31" s="3">
        <f t="shared" si="1"/>
        <v>0.02460501698</v>
      </c>
      <c r="L31" s="3">
        <f t="shared" si="2"/>
        <v>0.4822613441</v>
      </c>
      <c r="M31" s="3">
        <f t="shared" si="3"/>
        <v>3.387720911</v>
      </c>
      <c r="N31" s="3">
        <f t="shared" si="4"/>
        <v>66.39974447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2.75" customHeight="1">
      <c r="A32" s="3" t="s">
        <v>106</v>
      </c>
      <c r="B32" s="3" t="s">
        <v>107</v>
      </c>
      <c r="C32" s="3" t="s">
        <v>16</v>
      </c>
      <c r="D32" s="3" t="s">
        <v>108</v>
      </c>
      <c r="E32" s="3" t="s">
        <v>18</v>
      </c>
      <c r="F32" s="3">
        <v>7.315</v>
      </c>
      <c r="G32" s="3">
        <v>1.380928874015808</v>
      </c>
      <c r="H32" s="3">
        <v>37.296932220458984</v>
      </c>
      <c r="I32" s="4">
        <v>1.3284986208723573</v>
      </c>
      <c r="J32" s="4">
        <v>36.73933509634563</v>
      </c>
      <c r="K32" s="3">
        <f t="shared" si="1"/>
        <v>0.09717967412</v>
      </c>
      <c r="L32" s="3">
        <f t="shared" si="2"/>
        <v>2.687482362</v>
      </c>
      <c r="M32" s="3">
        <f t="shared" si="3"/>
        <v>13.28498621</v>
      </c>
      <c r="N32" s="3">
        <f t="shared" si="4"/>
        <v>367.393351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2.75" customHeight="1">
      <c r="A33" s="3" t="s">
        <v>109</v>
      </c>
      <c r="B33" s="3" t="s">
        <v>110</v>
      </c>
      <c r="C33" s="3" t="s">
        <v>16</v>
      </c>
      <c r="D33" s="3" t="s">
        <v>111</v>
      </c>
      <c r="E33" s="3" t="s">
        <v>18</v>
      </c>
      <c r="F33" s="3">
        <v>6.337</v>
      </c>
      <c r="G33" s="3">
        <v>0.39950311183929443</v>
      </c>
      <c r="H33" s="3">
        <v>9.596871376037598</v>
      </c>
      <c r="I33" s="4">
        <v>0.3839543181240109</v>
      </c>
      <c r="J33" s="4">
        <v>9.445959918513406</v>
      </c>
      <c r="K33" s="3">
        <f t="shared" si="1"/>
        <v>0.02433118514</v>
      </c>
      <c r="L33" s="3">
        <f t="shared" si="2"/>
        <v>0.59859048</v>
      </c>
      <c r="M33" s="3">
        <f t="shared" si="3"/>
        <v>3.839543181</v>
      </c>
      <c r="N33" s="3">
        <f t="shared" si="4"/>
        <v>94.45959919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2.75" customHeight="1">
      <c r="A34" s="3" t="s">
        <v>112</v>
      </c>
      <c r="B34" s="3" t="s">
        <v>113</v>
      </c>
      <c r="C34" s="3" t="s">
        <v>16</v>
      </c>
      <c r="D34" s="3" t="s">
        <v>114</v>
      </c>
      <c r="E34" s="3" t="s">
        <v>18</v>
      </c>
      <c r="F34" s="3">
        <v>7.825</v>
      </c>
      <c r="G34" s="3">
        <v>0.3925001621246338</v>
      </c>
      <c r="H34" s="3">
        <v>9.331196784973145</v>
      </c>
      <c r="I34" s="4">
        <v>0.3768506587537657</v>
      </c>
      <c r="J34" s="4">
        <v>9.17724392027184</v>
      </c>
      <c r="K34" s="3">
        <f t="shared" si="1"/>
        <v>0.02948856405</v>
      </c>
      <c r="L34" s="3">
        <f t="shared" si="2"/>
        <v>0.7181193368</v>
      </c>
      <c r="M34" s="3">
        <f t="shared" si="3"/>
        <v>3.768506588</v>
      </c>
      <c r="N34" s="3">
        <f t="shared" si="4"/>
        <v>91.7724392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2.75" customHeight="1">
      <c r="A35" s="3" t="s">
        <v>115</v>
      </c>
      <c r="B35" s="3" t="s">
        <v>116</v>
      </c>
      <c r="C35" s="3" t="s">
        <v>16</v>
      </c>
      <c r="D35" s="3" t="s">
        <v>117</v>
      </c>
      <c r="E35" s="3" t="s">
        <v>18</v>
      </c>
      <c r="F35" s="3">
        <v>5.666</v>
      </c>
      <c r="G35" s="3">
        <v>0.8235289454460144</v>
      </c>
      <c r="H35" s="3">
        <v>21.87755584716797</v>
      </c>
      <c r="I35" s="4">
        <v>0.7899121648735513</v>
      </c>
      <c r="J35" s="4">
        <v>21.499706516729105</v>
      </c>
      <c r="K35" s="3">
        <f t="shared" si="1"/>
        <v>0.04475642326</v>
      </c>
      <c r="L35" s="3">
        <f t="shared" si="2"/>
        <v>1.218173371</v>
      </c>
      <c r="M35" s="3">
        <f t="shared" si="3"/>
        <v>7.899121649</v>
      </c>
      <c r="N35" s="3">
        <f t="shared" si="4"/>
        <v>214.9970652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2.75" customHeight="1">
      <c r="A36" s="3" t="s">
        <v>118</v>
      </c>
      <c r="B36" s="3" t="s">
        <v>119</v>
      </c>
      <c r="C36" s="3" t="s">
        <v>16</v>
      </c>
      <c r="D36" s="3" t="s">
        <v>120</v>
      </c>
      <c r="E36" s="3" t="s">
        <v>18</v>
      </c>
      <c r="F36" s="3">
        <v>6.666</v>
      </c>
      <c r="G36" s="3">
        <v>0.6018348336219788</v>
      </c>
      <c r="H36" s="3">
        <v>12.345392227172852</v>
      </c>
      <c r="I36" s="4">
        <v>0.5766975967675942</v>
      </c>
      <c r="J36" s="4">
        <v>12.122653156494675</v>
      </c>
      <c r="K36" s="3">
        <f t="shared" si="1"/>
        <v>0.0384426618</v>
      </c>
      <c r="L36" s="3">
        <f t="shared" si="2"/>
        <v>0.8080960594</v>
      </c>
      <c r="M36" s="3">
        <f t="shared" si="3"/>
        <v>5.766975968</v>
      </c>
      <c r="N36" s="3">
        <f t="shared" si="4"/>
        <v>121.2265316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2.75" customHeight="1">
      <c r="A37" s="3" t="s">
        <v>121</v>
      </c>
      <c r="B37" s="3" t="s">
        <v>122</v>
      </c>
      <c r="C37" s="3" t="s">
        <v>16</v>
      </c>
      <c r="D37" s="3" t="s">
        <v>123</v>
      </c>
      <c r="E37" s="3" t="s">
        <v>18</v>
      </c>
      <c r="F37" s="3">
        <v>7.274</v>
      </c>
      <c r="G37" s="3">
        <v>1.203276515007019</v>
      </c>
      <c r="H37" s="3">
        <v>35.06895065307617</v>
      </c>
      <c r="I37" s="4">
        <v>1.1518809226413398</v>
      </c>
      <c r="J37" s="4">
        <v>34.409226144523</v>
      </c>
      <c r="K37" s="3">
        <f t="shared" si="1"/>
        <v>0.08378781831</v>
      </c>
      <c r="L37" s="3">
        <f t="shared" si="2"/>
        <v>2.50292711</v>
      </c>
      <c r="M37" s="3">
        <f t="shared" si="3"/>
        <v>11.51880923</v>
      </c>
      <c r="N37" s="3">
        <f t="shared" si="4"/>
        <v>344.0922614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2.75" customHeight="1">
      <c r="A38" s="3" t="s">
        <v>124</v>
      </c>
      <c r="B38" s="3" t="s">
        <v>125</v>
      </c>
      <c r="C38" s="3" t="s">
        <v>16</v>
      </c>
      <c r="D38" s="3" t="s">
        <v>126</v>
      </c>
      <c r="E38" s="3" t="s">
        <v>18</v>
      </c>
      <c r="F38" s="3">
        <v>6.552</v>
      </c>
      <c r="G38" s="3">
        <v>0.7914048433303833</v>
      </c>
      <c r="H38" s="3">
        <v>21.203264236450195</v>
      </c>
      <c r="I38" s="4">
        <v>0.7568548616242896</v>
      </c>
      <c r="J38" s="4">
        <v>20.788082142444136</v>
      </c>
      <c r="K38" s="3">
        <f t="shared" si="1"/>
        <v>0.04958913053</v>
      </c>
      <c r="L38" s="3">
        <f t="shared" si="2"/>
        <v>1.362035142</v>
      </c>
      <c r="M38" s="3">
        <f t="shared" si="3"/>
        <v>7.568548616</v>
      </c>
      <c r="N38" s="3">
        <f t="shared" si="4"/>
        <v>207.8808214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2.75" customHeight="1">
      <c r="A39" s="3" t="s">
        <v>127</v>
      </c>
      <c r="B39" s="3" t="s">
        <v>128</v>
      </c>
      <c r="C39" s="3" t="s">
        <v>16</v>
      </c>
      <c r="D39" s="3" t="s">
        <v>129</v>
      </c>
      <c r="E39" s="3" t="s">
        <v>18</v>
      </c>
      <c r="F39" s="3">
        <v>7.923</v>
      </c>
      <c r="G39" s="3">
        <v>0.8819167017936707</v>
      </c>
      <c r="H39" s="3">
        <v>22.69415283203125</v>
      </c>
      <c r="I39" s="4">
        <v>0.8425847548046137</v>
      </c>
      <c r="J39" s="4">
        <v>22.232358952993682</v>
      </c>
      <c r="K39" s="3">
        <f t="shared" si="1"/>
        <v>0.06675799012</v>
      </c>
      <c r="L39" s="3">
        <f t="shared" si="2"/>
        <v>1.7614698</v>
      </c>
      <c r="M39" s="3">
        <f t="shared" si="3"/>
        <v>8.425847548</v>
      </c>
      <c r="N39" s="3">
        <f t="shared" si="4"/>
        <v>222.3235895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2.75" customHeight="1">
      <c r="A40" s="3" t="s">
        <v>130</v>
      </c>
      <c r="B40" s="3" t="s">
        <v>131</v>
      </c>
      <c r="C40" s="3" t="s">
        <v>16</v>
      </c>
      <c r="D40" s="3" t="s">
        <v>132</v>
      </c>
      <c r="E40" s="3" t="s">
        <v>18</v>
      </c>
      <c r="F40" s="3">
        <v>8.348</v>
      </c>
      <c r="G40" s="3">
        <v>0.4480190873146057</v>
      </c>
      <c r="H40" s="3">
        <v>11.699309349060059</v>
      </c>
      <c r="I40" s="4">
        <v>0.42761717539394123</v>
      </c>
      <c r="J40" s="4">
        <v>11.452278027741357</v>
      </c>
      <c r="K40" s="3">
        <f t="shared" si="1"/>
        <v>0.0356974818</v>
      </c>
      <c r="L40" s="3">
        <f t="shared" si="2"/>
        <v>0.9560361698</v>
      </c>
      <c r="M40" s="3">
        <f t="shared" si="3"/>
        <v>4.276171754</v>
      </c>
      <c r="N40" s="3">
        <f t="shared" si="4"/>
        <v>114.5227803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2.75" customHeight="1">
      <c r="A41" s="3" t="s">
        <v>133</v>
      </c>
      <c r="B41" s="3" t="s">
        <v>134</v>
      </c>
      <c r="C41" s="3" t="s">
        <v>16</v>
      </c>
      <c r="D41" s="3" t="s">
        <v>135</v>
      </c>
      <c r="E41" s="3" t="s">
        <v>18</v>
      </c>
      <c r="F41" s="3">
        <v>8.072</v>
      </c>
      <c r="G41" s="3">
        <v>0.24169370532035828</v>
      </c>
      <c r="H41" s="3">
        <v>7.095332145690918</v>
      </c>
      <c r="I41" s="4">
        <v>0.23046074472575837</v>
      </c>
      <c r="J41" s="4">
        <v>6.94008509301019</v>
      </c>
      <c r="K41" s="3">
        <f t="shared" si="1"/>
        <v>0.01860279131</v>
      </c>
      <c r="L41" s="3">
        <f t="shared" si="2"/>
        <v>0.5602036687</v>
      </c>
      <c r="M41" s="3">
        <f t="shared" si="3"/>
        <v>2.304607447</v>
      </c>
      <c r="N41" s="3">
        <f t="shared" si="4"/>
        <v>69.40085093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2.75" customHeight="1">
      <c r="A42" s="3" t="s">
        <v>136</v>
      </c>
      <c r="B42" s="3" t="s">
        <v>137</v>
      </c>
      <c r="C42" s="3" t="s">
        <v>138</v>
      </c>
      <c r="D42" s="3" t="s">
        <v>139</v>
      </c>
      <c r="E42" s="3" t="s">
        <v>18</v>
      </c>
      <c r="F42" s="3">
        <v>13.627</v>
      </c>
      <c r="G42" s="3">
        <v>0.35150766372680664</v>
      </c>
      <c r="H42" s="3">
        <v>6.905156135559082</v>
      </c>
      <c r="I42" s="3">
        <v>0.3459881356974911</v>
      </c>
      <c r="J42" s="3">
        <v>6.851454482445465</v>
      </c>
      <c r="K42" s="3">
        <f t="shared" si="1"/>
        <v>0.04714780325</v>
      </c>
      <c r="L42" s="3">
        <f t="shared" si="2"/>
        <v>0.9336477023</v>
      </c>
      <c r="M42" s="3">
        <f t="shared" si="3"/>
        <v>3.459881357</v>
      </c>
      <c r="N42" s="3">
        <f t="shared" si="4"/>
        <v>68.51454482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2.75" customHeight="1">
      <c r="A43" s="3" t="s">
        <v>140</v>
      </c>
      <c r="B43" s="3" t="s">
        <v>141</v>
      </c>
      <c r="C43" s="3" t="s">
        <v>138</v>
      </c>
      <c r="D43" s="3" t="s">
        <v>142</v>
      </c>
      <c r="E43" s="3" t="s">
        <v>18</v>
      </c>
      <c r="F43" s="3">
        <v>7.929</v>
      </c>
      <c r="G43" s="3">
        <v>1.7110569477081299</v>
      </c>
      <c r="H43" s="3">
        <v>35.27906799316406</v>
      </c>
      <c r="I43" s="3">
        <v>1.6790433275075352</v>
      </c>
      <c r="J43" s="3">
        <v>34.979795055461004</v>
      </c>
      <c r="K43" s="3">
        <f t="shared" si="1"/>
        <v>0.1331313454</v>
      </c>
      <c r="L43" s="3">
        <f t="shared" si="2"/>
        <v>2.77354795</v>
      </c>
      <c r="M43" s="3">
        <f t="shared" si="3"/>
        <v>16.79043328</v>
      </c>
      <c r="N43" s="3">
        <f t="shared" si="4"/>
        <v>349.7979506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2.75" customHeight="1">
      <c r="A44" s="3" t="s">
        <v>143</v>
      </c>
      <c r="B44" s="3" t="s">
        <v>144</v>
      </c>
      <c r="C44" s="3" t="s">
        <v>138</v>
      </c>
      <c r="D44" s="3" t="s">
        <v>145</v>
      </c>
      <c r="E44" s="3" t="s">
        <v>18</v>
      </c>
      <c r="F44" s="3">
        <v>11.38</v>
      </c>
      <c r="G44" s="3">
        <v>0.34076470136642456</v>
      </c>
      <c r="H44" s="3">
        <v>7.4381842613220215</v>
      </c>
      <c r="I44" s="3">
        <v>0.333370465056976</v>
      </c>
      <c r="J44" s="3">
        <v>7.369843218425149</v>
      </c>
      <c r="K44" s="3">
        <f t="shared" si="1"/>
        <v>0.03793755892</v>
      </c>
      <c r="L44" s="3">
        <f t="shared" si="2"/>
        <v>0.8386881583</v>
      </c>
      <c r="M44" s="3">
        <f t="shared" si="3"/>
        <v>3.333704651</v>
      </c>
      <c r="N44" s="3">
        <f t="shared" si="4"/>
        <v>73.69843218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2.75" customHeight="1">
      <c r="A45" s="3" t="s">
        <v>146</v>
      </c>
      <c r="B45" s="3" t="s">
        <v>147</v>
      </c>
      <c r="C45" s="3" t="s">
        <v>138</v>
      </c>
      <c r="D45" s="3" t="s">
        <v>148</v>
      </c>
      <c r="E45" s="3" t="s">
        <v>18</v>
      </c>
      <c r="F45" s="3">
        <v>9.311</v>
      </c>
      <c r="G45" s="3">
        <v>0.34649085998535156</v>
      </c>
      <c r="H45" s="3">
        <v>8.70467758178711</v>
      </c>
      <c r="I45" s="3">
        <v>0.3379429356878985</v>
      </c>
      <c r="J45" s="3">
        <v>8.618572176856018</v>
      </c>
      <c r="K45" s="3">
        <f t="shared" si="1"/>
        <v>0.03146586674</v>
      </c>
      <c r="L45" s="3">
        <f t="shared" si="2"/>
        <v>0.8024752554</v>
      </c>
      <c r="M45" s="3">
        <f t="shared" si="3"/>
        <v>3.379429357</v>
      </c>
      <c r="N45" s="3">
        <f t="shared" si="4"/>
        <v>86.18572177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2.75" customHeight="1">
      <c r="A46" s="3" t="s">
        <v>149</v>
      </c>
      <c r="B46" s="3" t="s">
        <v>150</v>
      </c>
      <c r="C46" s="3" t="s">
        <v>138</v>
      </c>
      <c r="D46" s="3" t="s">
        <v>151</v>
      </c>
      <c r="E46" s="3" t="s">
        <v>18</v>
      </c>
      <c r="F46" s="3">
        <v>6.948</v>
      </c>
      <c r="G46" s="3">
        <v>1.6069698333740234</v>
      </c>
      <c r="H46" s="3">
        <v>42.17020797729492</v>
      </c>
      <c r="I46" s="3">
        <v>1.5625805348392265</v>
      </c>
      <c r="J46" s="3">
        <v>41.72342584112315</v>
      </c>
      <c r="K46" s="3">
        <f t="shared" si="1"/>
        <v>0.1085680956</v>
      </c>
      <c r="L46" s="3">
        <f t="shared" si="2"/>
        <v>2.898943627</v>
      </c>
      <c r="M46" s="3">
        <f t="shared" si="3"/>
        <v>15.62580535</v>
      </c>
      <c r="N46" s="3">
        <f t="shared" si="4"/>
        <v>417.2342584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2.75" customHeight="1">
      <c r="A47" s="3" t="s">
        <v>152</v>
      </c>
      <c r="B47" s="3" t="s">
        <v>153</v>
      </c>
      <c r="C47" s="3" t="s">
        <v>138</v>
      </c>
      <c r="D47" s="3" t="s">
        <v>154</v>
      </c>
      <c r="E47" s="3" t="s">
        <v>18</v>
      </c>
      <c r="F47" s="3">
        <v>7.146</v>
      </c>
      <c r="G47" s="3">
        <v>0.5736829042434692</v>
      </c>
      <c r="H47" s="3">
        <v>13.859533309936523</v>
      </c>
      <c r="I47" s="3">
        <v>0.5561522277427774</v>
      </c>
      <c r="J47" s="3">
        <v>13.702966695564523</v>
      </c>
      <c r="K47" s="3">
        <f t="shared" si="1"/>
        <v>0.03974263819</v>
      </c>
      <c r="L47" s="3">
        <f t="shared" si="2"/>
        <v>0.9792140001</v>
      </c>
      <c r="M47" s="3">
        <f t="shared" si="3"/>
        <v>5.561522277</v>
      </c>
      <c r="N47" s="3">
        <f t="shared" si="4"/>
        <v>137.029667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2.75" customHeight="1">
      <c r="A48" s="3" t="s">
        <v>155</v>
      </c>
      <c r="B48" s="3" t="s">
        <v>156</v>
      </c>
      <c r="C48" s="3" t="s">
        <v>138</v>
      </c>
      <c r="D48" s="3" t="s">
        <v>157</v>
      </c>
      <c r="E48" s="3" t="s">
        <v>18</v>
      </c>
      <c r="F48" s="3">
        <v>7.304</v>
      </c>
      <c r="G48" s="3">
        <v>0.47726109623908997</v>
      </c>
      <c r="H48" s="3">
        <v>11.587620735168457</v>
      </c>
      <c r="I48" s="3">
        <v>0.46128446567694364</v>
      </c>
      <c r="J48" s="3">
        <v>11.44859724345317</v>
      </c>
      <c r="K48" s="3">
        <f t="shared" si="1"/>
        <v>0.03369221737</v>
      </c>
      <c r="L48" s="3">
        <f t="shared" si="2"/>
        <v>0.8362055427</v>
      </c>
      <c r="M48" s="3">
        <f t="shared" si="3"/>
        <v>4.612844657</v>
      </c>
      <c r="N48" s="3">
        <f t="shared" si="4"/>
        <v>114.4859724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2.75" customHeight="1">
      <c r="A49" s="3" t="s">
        <v>158</v>
      </c>
      <c r="B49" s="3" t="s">
        <v>159</v>
      </c>
      <c r="C49" s="3" t="s">
        <v>138</v>
      </c>
      <c r="D49" s="3" t="s">
        <v>160</v>
      </c>
      <c r="E49" s="3" t="s">
        <v>18</v>
      </c>
      <c r="F49" s="3">
        <v>7.177</v>
      </c>
      <c r="G49" s="3">
        <v>0.482849657535553</v>
      </c>
      <c r="H49" s="3">
        <v>11.028621673583984</v>
      </c>
      <c r="I49" s="3">
        <v>0.4652857066248071</v>
      </c>
      <c r="J49" s="3">
        <v>10.888585110068986</v>
      </c>
      <c r="K49" s="3">
        <f t="shared" si="1"/>
        <v>0.03339355516</v>
      </c>
      <c r="L49" s="3">
        <f t="shared" si="2"/>
        <v>0.7814737533</v>
      </c>
      <c r="M49" s="3">
        <f t="shared" si="3"/>
        <v>4.652857066</v>
      </c>
      <c r="N49" s="3">
        <f t="shared" si="4"/>
        <v>108.8858511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2.75" customHeight="1">
      <c r="A50" s="3" t="s">
        <v>161</v>
      </c>
      <c r="B50" s="3" t="s">
        <v>162</v>
      </c>
      <c r="C50" s="3" t="s">
        <v>138</v>
      </c>
      <c r="D50" s="3" t="s">
        <v>163</v>
      </c>
      <c r="E50" s="3" t="s">
        <v>18</v>
      </c>
      <c r="F50" s="3">
        <v>7.041</v>
      </c>
      <c r="G50" s="3">
        <v>0.5356397032737732</v>
      </c>
      <c r="H50" s="3">
        <v>10.91185474395752</v>
      </c>
      <c r="I50" s="3">
        <v>0.5146114075029573</v>
      </c>
      <c r="J50" s="3">
        <v>10.76567403981972</v>
      </c>
      <c r="K50" s="3">
        <f t="shared" si="1"/>
        <v>0.0362337892</v>
      </c>
      <c r="L50" s="3">
        <f t="shared" si="2"/>
        <v>0.7580111091</v>
      </c>
      <c r="M50" s="3">
        <f t="shared" si="3"/>
        <v>5.146114075</v>
      </c>
      <c r="N50" s="3">
        <f t="shared" si="4"/>
        <v>107.6567404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2.75" customHeight="1">
      <c r="A51" s="3" t="s">
        <v>164</v>
      </c>
      <c r="B51" s="3" t="s">
        <v>165</v>
      </c>
      <c r="C51" s="3" t="s">
        <v>138</v>
      </c>
      <c r="D51" s="3" t="s">
        <v>166</v>
      </c>
      <c r="E51" s="3" t="s">
        <v>18</v>
      </c>
      <c r="F51" s="3">
        <v>7.807</v>
      </c>
      <c r="G51" s="3">
        <v>0.6921972632408142</v>
      </c>
      <c r="H51" s="3">
        <v>15.333158493041992</v>
      </c>
      <c r="I51" s="3">
        <v>0.6630393635519939</v>
      </c>
      <c r="J51" s="3">
        <v>15.117046438172224</v>
      </c>
      <c r="K51" s="3">
        <f t="shared" si="1"/>
        <v>0.05176348311</v>
      </c>
      <c r="L51" s="3">
        <f t="shared" si="2"/>
        <v>1.180187815</v>
      </c>
      <c r="M51" s="3">
        <f t="shared" si="3"/>
        <v>6.630393636</v>
      </c>
      <c r="N51" s="3">
        <f t="shared" si="4"/>
        <v>151.1704644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2.75" customHeight="1">
      <c r="A52" s="3" t="s">
        <v>167</v>
      </c>
      <c r="B52" s="3" t="s">
        <v>168</v>
      </c>
      <c r="C52" s="3" t="s">
        <v>138</v>
      </c>
      <c r="D52" s="3" t="s">
        <v>169</v>
      </c>
      <c r="E52" s="3" t="s">
        <v>18</v>
      </c>
      <c r="F52" s="3">
        <v>7.481</v>
      </c>
      <c r="G52" s="3">
        <v>0.3855739235877991</v>
      </c>
      <c r="H52" s="3">
        <v>10.150702476501465</v>
      </c>
      <c r="I52" s="3">
        <v>0.3668606921054406</v>
      </c>
      <c r="J52" s="3">
        <v>9.986229217151596</v>
      </c>
      <c r="K52" s="3">
        <f t="shared" si="1"/>
        <v>0.02744484838</v>
      </c>
      <c r="L52" s="3">
        <f t="shared" si="2"/>
        <v>0.7470698077</v>
      </c>
      <c r="M52" s="3">
        <f t="shared" si="3"/>
        <v>3.668606921</v>
      </c>
      <c r="N52" s="3">
        <f t="shared" si="4"/>
        <v>99.86229217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2.75" customHeight="1">
      <c r="A53" s="3" t="s">
        <v>170</v>
      </c>
      <c r="B53" s="3" t="s">
        <v>171</v>
      </c>
      <c r="C53" s="3" t="s">
        <v>138</v>
      </c>
      <c r="D53" s="3" t="s">
        <v>172</v>
      </c>
      <c r="E53" s="3" t="s">
        <v>18</v>
      </c>
      <c r="F53" s="3">
        <v>7.176</v>
      </c>
      <c r="G53" s="3">
        <v>1.199631929397583</v>
      </c>
      <c r="H53" s="3">
        <v>34.77309036254883</v>
      </c>
      <c r="I53" s="3">
        <v>1.1405355374975852</v>
      </c>
      <c r="J53" s="3">
        <v>34.184804105836875</v>
      </c>
      <c r="K53" s="3">
        <f t="shared" si="1"/>
        <v>0.08184483017</v>
      </c>
      <c r="L53" s="3">
        <f t="shared" si="2"/>
        <v>2.453101543</v>
      </c>
      <c r="M53" s="3">
        <f t="shared" si="3"/>
        <v>11.40535537</v>
      </c>
      <c r="N53" s="3">
        <f t="shared" si="4"/>
        <v>341.8480411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2.75" customHeight="1">
      <c r="A54" s="3" t="s">
        <v>173</v>
      </c>
      <c r="B54" s="3" t="s">
        <v>174</v>
      </c>
      <c r="C54" s="3" t="s">
        <v>138</v>
      </c>
      <c r="D54" s="3" t="s">
        <v>175</v>
      </c>
      <c r="E54" s="3" t="s">
        <v>18</v>
      </c>
      <c r="F54" s="3">
        <v>7.499</v>
      </c>
      <c r="G54" s="3">
        <v>0.34449151158332825</v>
      </c>
      <c r="H54" s="3">
        <v>9.7863130569458</v>
      </c>
      <c r="I54" s="3">
        <v>0.327270465019948</v>
      </c>
      <c r="J54" s="3">
        <v>9.6137653845313</v>
      </c>
      <c r="K54" s="3">
        <f t="shared" si="1"/>
        <v>0.02454201217</v>
      </c>
      <c r="L54" s="3">
        <f t="shared" si="2"/>
        <v>0.7209362662</v>
      </c>
      <c r="M54" s="3">
        <f t="shared" si="3"/>
        <v>3.27270465</v>
      </c>
      <c r="N54" s="3">
        <f t="shared" si="4"/>
        <v>96.13765385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2.75" customHeight="1">
      <c r="A55" s="3" t="s">
        <v>176</v>
      </c>
      <c r="B55" s="3" t="s">
        <v>177</v>
      </c>
      <c r="C55" s="3" t="s">
        <v>138</v>
      </c>
      <c r="D55" s="3" t="s">
        <v>178</v>
      </c>
      <c r="E55" s="3" t="s">
        <v>18</v>
      </c>
      <c r="F55" s="3">
        <v>7.528</v>
      </c>
      <c r="G55" s="3">
        <v>0.2872169315814972</v>
      </c>
      <c r="H55" s="3">
        <v>5.946459770202637</v>
      </c>
      <c r="I55" s="3">
        <v>0.27265035550572086</v>
      </c>
      <c r="J55" s="3">
        <v>5.837376724644189</v>
      </c>
      <c r="K55" s="3">
        <f t="shared" si="1"/>
        <v>0.02052511876</v>
      </c>
      <c r="L55" s="3">
        <f t="shared" si="2"/>
        <v>0.4394377198</v>
      </c>
      <c r="M55" s="3">
        <f t="shared" si="3"/>
        <v>2.726503555</v>
      </c>
      <c r="N55" s="3">
        <f t="shared" si="4"/>
        <v>58.37376725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2.75" customHeight="1">
      <c r="A56" s="3" t="s">
        <v>179</v>
      </c>
      <c r="B56" s="3" t="s">
        <v>180</v>
      </c>
      <c r="C56" s="3" t="s">
        <v>138</v>
      </c>
      <c r="D56" s="3" t="s">
        <v>181</v>
      </c>
      <c r="E56" s="3" t="s">
        <v>18</v>
      </c>
      <c r="F56" s="3">
        <v>9.453</v>
      </c>
      <c r="G56" s="3">
        <v>0.4019635319709778</v>
      </c>
      <c r="H56" s="3">
        <v>12.173558235168457</v>
      </c>
      <c r="I56" s="3">
        <v>0.38128587802367575</v>
      </c>
      <c r="J56" s="3">
        <v>11.94158216584526</v>
      </c>
      <c r="K56" s="3">
        <f t="shared" si="1"/>
        <v>0.03604295405</v>
      </c>
      <c r="L56" s="3">
        <f t="shared" si="2"/>
        <v>1.128837762</v>
      </c>
      <c r="M56" s="3">
        <f t="shared" si="3"/>
        <v>3.81285878</v>
      </c>
      <c r="N56" s="3">
        <f t="shared" si="4"/>
        <v>119.4158217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2.75" customHeight="1">
      <c r="A57" s="3" t="s">
        <v>182</v>
      </c>
      <c r="B57" s="3" t="s">
        <v>183</v>
      </c>
      <c r="C57" s="3" t="s">
        <v>138</v>
      </c>
      <c r="D57" s="3" t="s">
        <v>184</v>
      </c>
      <c r="E57" s="3" t="s">
        <v>18</v>
      </c>
      <c r="F57" s="3">
        <v>6.46</v>
      </c>
      <c r="G57" s="3">
        <v>0.18795207142829895</v>
      </c>
      <c r="H57" s="3">
        <v>5.465818405151367</v>
      </c>
      <c r="I57" s="3">
        <v>0.17814738700307897</v>
      </c>
      <c r="J57" s="3">
        <v>5.357779164906153</v>
      </c>
      <c r="K57" s="3">
        <f t="shared" si="1"/>
        <v>0.0115083212</v>
      </c>
      <c r="L57" s="3">
        <f t="shared" si="2"/>
        <v>0.3461125341</v>
      </c>
      <c r="M57" s="3">
        <f t="shared" si="3"/>
        <v>1.78147387</v>
      </c>
      <c r="N57" s="3">
        <f t="shared" si="4"/>
        <v>53.57779165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2.75" customHeight="1">
      <c r="A58" s="3" t="s">
        <v>185</v>
      </c>
      <c r="B58" s="3" t="s">
        <v>186</v>
      </c>
      <c r="C58" s="3" t="s">
        <v>138</v>
      </c>
      <c r="D58" s="3" t="s">
        <v>187</v>
      </c>
      <c r="E58" s="3" t="s">
        <v>18</v>
      </c>
      <c r="F58" s="3">
        <v>6.852</v>
      </c>
      <c r="G58" s="3">
        <v>0.23379269242286682</v>
      </c>
      <c r="H58" s="3">
        <v>7.316326141357422</v>
      </c>
      <c r="I58" s="3">
        <v>0.22142762401852847</v>
      </c>
      <c r="J58" s="3">
        <v>7.166517988303993</v>
      </c>
      <c r="K58" s="3">
        <f t="shared" si="1"/>
        <v>0.0151722208</v>
      </c>
      <c r="L58" s="3">
        <f t="shared" si="2"/>
        <v>0.4910498126</v>
      </c>
      <c r="M58" s="3">
        <f t="shared" si="3"/>
        <v>2.21427624</v>
      </c>
      <c r="N58" s="3">
        <f t="shared" si="4"/>
        <v>71.66517988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2.75" customHeight="1">
      <c r="A59" s="3" t="s">
        <v>188</v>
      </c>
      <c r="B59" s="3" t="s">
        <v>189</v>
      </c>
      <c r="C59" s="3" t="s">
        <v>138</v>
      </c>
      <c r="D59" s="3" t="s">
        <v>190</v>
      </c>
      <c r="E59" s="3" t="s">
        <v>18</v>
      </c>
      <c r="F59" s="3">
        <v>6.184</v>
      </c>
      <c r="G59" s="3">
        <v>0.266409695148468</v>
      </c>
      <c r="H59" s="3">
        <v>8.356597900390625</v>
      </c>
      <c r="I59" s="3">
        <v>0.2521271888786232</v>
      </c>
      <c r="J59" s="3">
        <v>8.179568161151058</v>
      </c>
      <c r="K59" s="3">
        <f t="shared" si="1"/>
        <v>0.01559154536</v>
      </c>
      <c r="L59" s="3">
        <f t="shared" si="2"/>
        <v>0.5058244951</v>
      </c>
      <c r="M59" s="3">
        <f t="shared" si="3"/>
        <v>2.521271889</v>
      </c>
      <c r="N59" s="3">
        <f t="shared" si="4"/>
        <v>81.79568161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2.75" customHeight="1">
      <c r="A60" s="3" t="s">
        <v>191</v>
      </c>
      <c r="B60" s="3" t="s">
        <v>192</v>
      </c>
      <c r="C60" s="3" t="s">
        <v>138</v>
      </c>
      <c r="D60" s="3" t="s">
        <v>193</v>
      </c>
      <c r="E60" s="3" t="s">
        <v>18</v>
      </c>
      <c r="F60" s="3">
        <v>6.952</v>
      </c>
      <c r="G60" s="3">
        <v>0.5877808928489685</v>
      </c>
      <c r="H60" s="3">
        <v>16.04255485534668</v>
      </c>
      <c r="I60" s="3">
        <v>0.5558455617290973</v>
      </c>
      <c r="J60" s="3">
        <v>15.691352678775674</v>
      </c>
      <c r="K60" s="3">
        <f t="shared" si="1"/>
        <v>0.03864238345</v>
      </c>
      <c r="L60" s="3">
        <f t="shared" si="2"/>
        <v>1.090862838</v>
      </c>
      <c r="M60" s="3">
        <f t="shared" si="3"/>
        <v>5.558455617</v>
      </c>
      <c r="N60" s="3">
        <f t="shared" si="4"/>
        <v>156.9135268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2.75" customHeight="1">
      <c r="A61" s="3" t="s">
        <v>194</v>
      </c>
      <c r="B61" s="3" t="s">
        <v>195</v>
      </c>
      <c r="C61" s="3" t="s">
        <v>138</v>
      </c>
      <c r="D61" s="3" t="s">
        <v>196</v>
      </c>
      <c r="E61" s="3" t="s">
        <v>18</v>
      </c>
      <c r="F61" s="3">
        <v>8.978</v>
      </c>
      <c r="G61" s="3">
        <v>0.24690011143684387</v>
      </c>
      <c r="H61" s="3">
        <v>6.475774765014648</v>
      </c>
      <c r="I61" s="3">
        <v>0.2333077652691147</v>
      </c>
      <c r="J61" s="3">
        <v>6.329432568411359</v>
      </c>
      <c r="K61" s="3">
        <f t="shared" si="1"/>
        <v>0.02094637117</v>
      </c>
      <c r="L61" s="3">
        <f t="shared" si="2"/>
        <v>0.568256456</v>
      </c>
      <c r="M61" s="3">
        <f t="shared" si="3"/>
        <v>2.333077653</v>
      </c>
      <c r="N61" s="3">
        <f t="shared" si="4"/>
        <v>63.29432568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2.75" customHeight="1">
      <c r="A62" s="3" t="s">
        <v>197</v>
      </c>
      <c r="B62" s="3" t="s">
        <v>198</v>
      </c>
      <c r="C62" s="3" t="s">
        <v>138</v>
      </c>
      <c r="D62" s="3" t="s">
        <v>199</v>
      </c>
      <c r="E62" s="3" t="s">
        <v>18</v>
      </c>
      <c r="F62" s="3">
        <v>10.883</v>
      </c>
      <c r="G62" s="3">
        <v>0.8241420984268188</v>
      </c>
      <c r="H62" s="3">
        <v>12.539149284362793</v>
      </c>
      <c r="I62" s="3">
        <v>0.7773520395471267</v>
      </c>
      <c r="J62" s="3">
        <v>12.24454270298241</v>
      </c>
      <c r="K62" s="3">
        <f t="shared" si="1"/>
        <v>0.08459922246</v>
      </c>
      <c r="L62" s="3">
        <f t="shared" si="2"/>
        <v>1.332573582</v>
      </c>
      <c r="M62" s="3">
        <f t="shared" si="3"/>
        <v>7.773520395</v>
      </c>
      <c r="N62" s="3">
        <f t="shared" si="4"/>
        <v>122.445427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2.75" customHeight="1">
      <c r="A63" s="3" t="s">
        <v>200</v>
      </c>
      <c r="B63" s="3" t="s">
        <v>201</v>
      </c>
      <c r="C63" s="3" t="s">
        <v>138</v>
      </c>
      <c r="D63" s="3" t="s">
        <v>202</v>
      </c>
      <c r="E63" s="3" t="s">
        <v>18</v>
      </c>
      <c r="F63" s="3">
        <v>11.126</v>
      </c>
      <c r="G63" s="3">
        <v>0.907968282699585</v>
      </c>
      <c r="H63" s="3">
        <v>16.744287490844727</v>
      </c>
      <c r="I63" s="3">
        <v>0.8561596822211742</v>
      </c>
      <c r="J63" s="3">
        <v>16.359483868101858</v>
      </c>
      <c r="K63" s="3">
        <f t="shared" si="1"/>
        <v>0.09525632624</v>
      </c>
      <c r="L63" s="3">
        <f t="shared" si="2"/>
        <v>1.820156175</v>
      </c>
      <c r="M63" s="3">
        <f t="shared" si="3"/>
        <v>8.561596822</v>
      </c>
      <c r="N63" s="3">
        <f t="shared" si="4"/>
        <v>163.5948387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2.75" customHeight="1">
      <c r="A64" s="3" t="s">
        <v>203</v>
      </c>
      <c r="B64" s="3" t="s">
        <v>204</v>
      </c>
      <c r="C64" s="3" t="s">
        <v>138</v>
      </c>
      <c r="D64" s="3" t="s">
        <v>205</v>
      </c>
      <c r="E64" s="3" t="s">
        <v>18</v>
      </c>
      <c r="F64" s="3">
        <v>11.994</v>
      </c>
      <c r="G64" s="3">
        <v>0.7881503105163574</v>
      </c>
      <c r="H64" s="3">
        <v>11.08772087097168</v>
      </c>
      <c r="I64" s="3">
        <v>0.7429534833538446</v>
      </c>
      <c r="J64" s="3">
        <v>10.838615269123048</v>
      </c>
      <c r="K64" s="3">
        <f t="shared" si="1"/>
        <v>0.08910984079</v>
      </c>
      <c r="L64" s="3">
        <f t="shared" si="2"/>
        <v>1.299983515</v>
      </c>
      <c r="M64" s="3">
        <f t="shared" si="3"/>
        <v>7.429534834</v>
      </c>
      <c r="N64" s="3">
        <f t="shared" si="4"/>
        <v>108.3861527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2.75" customHeight="1">
      <c r="A65" s="3" t="s">
        <v>206</v>
      </c>
      <c r="B65" s="3" t="s">
        <v>207</v>
      </c>
      <c r="C65" s="3" t="s">
        <v>138</v>
      </c>
      <c r="D65" s="3" t="s">
        <v>208</v>
      </c>
      <c r="E65" s="3" t="s">
        <v>18</v>
      </c>
      <c r="F65" s="3">
        <v>11.16</v>
      </c>
      <c r="G65" s="3">
        <v>0.7856401801109314</v>
      </c>
      <c r="H65" s="3">
        <v>9.798070907592773</v>
      </c>
      <c r="I65" s="3">
        <v>0.7403630602840775</v>
      </c>
      <c r="J65" s="3">
        <v>9.582984179254401</v>
      </c>
      <c r="K65" s="3">
        <f t="shared" si="1"/>
        <v>0.08262451753</v>
      </c>
      <c r="L65" s="3">
        <f t="shared" si="2"/>
        <v>1.069461034</v>
      </c>
      <c r="M65" s="3">
        <f t="shared" si="3"/>
        <v>7.403630603</v>
      </c>
      <c r="N65" s="3">
        <f t="shared" si="4"/>
        <v>95.82984179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2.75" customHeight="1">
      <c r="A66" s="3" t="s">
        <v>209</v>
      </c>
      <c r="B66" s="3" t="s">
        <v>210</v>
      </c>
      <c r="C66" s="3" t="s">
        <v>138</v>
      </c>
      <c r="D66" s="3" t="s">
        <v>211</v>
      </c>
      <c r="E66" s="3" t="s">
        <v>18</v>
      </c>
      <c r="F66" s="3">
        <v>12.773</v>
      </c>
      <c r="G66" s="3">
        <v>1.130623698234558</v>
      </c>
      <c r="H66" s="3">
        <v>19.02414894104004</v>
      </c>
      <c r="I66" s="3">
        <v>1.0651424747518063</v>
      </c>
      <c r="J66" s="3">
        <v>18.61633756061643</v>
      </c>
      <c r="K66" s="3">
        <f t="shared" si="1"/>
        <v>0.1360506483</v>
      </c>
      <c r="L66" s="3">
        <f t="shared" si="2"/>
        <v>2.377864797</v>
      </c>
      <c r="M66" s="3">
        <f t="shared" si="3"/>
        <v>10.65142475</v>
      </c>
      <c r="N66" s="3">
        <f t="shared" si="4"/>
        <v>186.1633756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2.75" customHeight="1">
      <c r="A67" s="3" t="s">
        <v>212</v>
      </c>
      <c r="B67" s="3" t="s">
        <v>213</v>
      </c>
      <c r="C67" s="3" t="s">
        <v>138</v>
      </c>
      <c r="D67" s="3" t="s">
        <v>214</v>
      </c>
      <c r="E67" s="3" t="s">
        <v>18</v>
      </c>
      <c r="F67" s="3">
        <v>10.081</v>
      </c>
      <c r="G67" s="3">
        <v>0.5700968503952026</v>
      </c>
      <c r="H67" s="3">
        <v>7.87088680267334</v>
      </c>
      <c r="I67" s="3">
        <v>0.5369166178444246</v>
      </c>
      <c r="J67" s="3">
        <v>7.706224211717361</v>
      </c>
      <c r="K67" s="3">
        <f t="shared" si="1"/>
        <v>0.05412656424</v>
      </c>
      <c r="L67" s="3">
        <f t="shared" si="2"/>
        <v>0.7768644628</v>
      </c>
      <c r="M67" s="3">
        <f t="shared" si="3"/>
        <v>5.369166178</v>
      </c>
      <c r="N67" s="3">
        <f t="shared" si="4"/>
        <v>77.06224212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2.75" customHeight="1">
      <c r="A68" s="3" t="s">
        <v>215</v>
      </c>
      <c r="B68" s="3" t="s">
        <v>216</v>
      </c>
      <c r="C68" s="3" t="s">
        <v>138</v>
      </c>
      <c r="D68" s="3" t="s">
        <v>217</v>
      </c>
      <c r="E68" s="3" t="s">
        <v>18</v>
      </c>
      <c r="F68" s="3">
        <v>10.676</v>
      </c>
      <c r="G68" s="3">
        <v>0.45436716079711914</v>
      </c>
      <c r="H68" s="3">
        <v>5.8728346824646</v>
      </c>
      <c r="I68" s="3">
        <v>0.4277930711690317</v>
      </c>
      <c r="J68" s="3">
        <v>5.753005171699004</v>
      </c>
      <c r="K68" s="3">
        <f t="shared" si="1"/>
        <v>0.04567118828</v>
      </c>
      <c r="L68" s="3">
        <f t="shared" si="2"/>
        <v>0.6141908321</v>
      </c>
      <c r="M68" s="3">
        <f t="shared" si="3"/>
        <v>4.277930712</v>
      </c>
      <c r="N68" s="3">
        <f t="shared" si="4"/>
        <v>57.53005172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2.75" customHeight="1">
      <c r="A69" s="3" t="s">
        <v>218</v>
      </c>
      <c r="B69" s="3" t="s">
        <v>219</v>
      </c>
      <c r="C69" s="3" t="s">
        <v>138</v>
      </c>
      <c r="D69" s="3" t="s">
        <v>220</v>
      </c>
      <c r="E69" s="3" t="s">
        <v>18</v>
      </c>
      <c r="F69" s="3">
        <v>14.103</v>
      </c>
      <c r="G69" s="3">
        <v>0.7309862375259399</v>
      </c>
      <c r="H69" s="3">
        <v>11.095131874084473</v>
      </c>
      <c r="I69" s="3">
        <v>0.6880257372754273</v>
      </c>
      <c r="J69" s="3">
        <v>10.874483549593059</v>
      </c>
      <c r="K69" s="3">
        <f t="shared" si="1"/>
        <v>0.09703226973</v>
      </c>
      <c r="L69" s="3">
        <f t="shared" si="2"/>
        <v>1.533628415</v>
      </c>
      <c r="M69" s="3">
        <f t="shared" si="3"/>
        <v>6.880257373</v>
      </c>
      <c r="N69" s="3">
        <f t="shared" si="4"/>
        <v>108.7448355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2.75" customHeight="1">
      <c r="A70" s="3" t="s">
        <v>221</v>
      </c>
      <c r="B70" s="3" t="s">
        <v>222</v>
      </c>
      <c r="C70" s="3" t="s">
        <v>138</v>
      </c>
      <c r="D70" s="3" t="s">
        <v>223</v>
      </c>
      <c r="E70" s="3" t="s">
        <v>18</v>
      </c>
      <c r="F70" s="3">
        <v>11.179</v>
      </c>
      <c r="G70" s="3">
        <v>1.2274705171585083</v>
      </c>
      <c r="H70" s="3">
        <v>20.742877960205078</v>
      </c>
      <c r="I70" s="3">
        <v>1.1549822044531743</v>
      </c>
      <c r="J70" s="3">
        <v>20.34110276297764</v>
      </c>
      <c r="K70" s="3">
        <f t="shared" si="1"/>
        <v>0.1291154606</v>
      </c>
      <c r="L70" s="3">
        <f t="shared" si="2"/>
        <v>2.273931878</v>
      </c>
      <c r="M70" s="3">
        <f t="shared" si="3"/>
        <v>11.54982204</v>
      </c>
      <c r="N70" s="3">
        <f t="shared" si="4"/>
        <v>203.4110276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2.75" customHeight="1">
      <c r="A71" s="3" t="s">
        <v>224</v>
      </c>
      <c r="B71" s="3" t="s">
        <v>225</v>
      </c>
      <c r="C71" s="3" t="s">
        <v>138</v>
      </c>
      <c r="D71" s="3" t="s">
        <v>226</v>
      </c>
      <c r="E71" s="3" t="s">
        <v>18</v>
      </c>
      <c r="F71" s="3">
        <v>10.696</v>
      </c>
      <c r="G71" s="3">
        <v>1.0683681964874268</v>
      </c>
      <c r="H71" s="3">
        <v>14.47812271118164</v>
      </c>
      <c r="I71" s="3">
        <v>1.0049718721242462</v>
      </c>
      <c r="J71" s="3">
        <v>14.205194238500344</v>
      </c>
      <c r="K71" s="3">
        <f t="shared" si="1"/>
        <v>0.1074917914</v>
      </c>
      <c r="L71" s="3">
        <f t="shared" si="2"/>
        <v>1.519387576</v>
      </c>
      <c r="M71" s="3">
        <f t="shared" si="3"/>
        <v>10.04971872</v>
      </c>
      <c r="N71" s="3">
        <f t="shared" si="4"/>
        <v>142.0519424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2.75" customHeight="1">
      <c r="A72" s="3" t="s">
        <v>227</v>
      </c>
      <c r="B72" s="3" t="s">
        <v>228</v>
      </c>
      <c r="C72" s="3" t="s">
        <v>138</v>
      </c>
      <c r="D72" s="3" t="s">
        <v>229</v>
      </c>
      <c r="E72" s="3" t="s">
        <v>18</v>
      </c>
      <c r="F72" s="3">
        <v>13.568</v>
      </c>
      <c r="G72" s="3">
        <v>0.33454418182373047</v>
      </c>
      <c r="H72" s="3">
        <v>4.6109819412231445</v>
      </c>
      <c r="I72" s="3">
        <v>0.3144897252788689</v>
      </c>
      <c r="J72" s="3">
        <v>4.530961822466506</v>
      </c>
      <c r="K72" s="3">
        <f t="shared" si="1"/>
        <v>0.04266996593</v>
      </c>
      <c r="L72" s="3">
        <f t="shared" si="2"/>
        <v>0.6147609001</v>
      </c>
      <c r="M72" s="3">
        <f t="shared" si="3"/>
        <v>3.144897253</v>
      </c>
      <c r="N72" s="3">
        <f t="shared" si="4"/>
        <v>45.30961822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2.75" customHeight="1">
      <c r="A73" s="3" t="s">
        <v>230</v>
      </c>
      <c r="B73" s="3" t="s">
        <v>231</v>
      </c>
      <c r="C73" s="3" t="s">
        <v>138</v>
      </c>
      <c r="D73" s="3" t="s">
        <v>232</v>
      </c>
      <c r="E73" s="3" t="s">
        <v>18</v>
      </c>
      <c r="F73" s="3">
        <v>10.187</v>
      </c>
      <c r="G73" s="3">
        <v>0.33917349576950073</v>
      </c>
      <c r="H73" s="3">
        <v>6.714648723602295</v>
      </c>
      <c r="I73" s="3">
        <v>0.318828613068956</v>
      </c>
      <c r="J73" s="3">
        <v>6.601206122768759</v>
      </c>
      <c r="K73" s="3">
        <f t="shared" si="1"/>
        <v>0.03247907081</v>
      </c>
      <c r="L73" s="3">
        <f t="shared" si="2"/>
        <v>0.6724648677</v>
      </c>
      <c r="M73" s="3">
        <f t="shared" si="3"/>
        <v>3.188286131</v>
      </c>
      <c r="N73" s="3">
        <f t="shared" si="4"/>
        <v>66.01206123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2.75" customHeight="1">
      <c r="A74" s="3" t="s">
        <v>233</v>
      </c>
      <c r="B74" s="3" t="s">
        <v>234</v>
      </c>
      <c r="C74" s="3" t="s">
        <v>138</v>
      </c>
      <c r="D74" s="3" t="s">
        <v>235</v>
      </c>
      <c r="E74" s="3" t="s">
        <v>18</v>
      </c>
      <c r="F74" s="3">
        <v>10.744</v>
      </c>
      <c r="G74" s="3">
        <v>0.5365524888038635</v>
      </c>
      <c r="H74" s="3">
        <v>6.929218769073486</v>
      </c>
      <c r="I74" s="3">
        <v>0.5043476572231657</v>
      </c>
      <c r="J74" s="3">
        <v>6.815337008800777</v>
      </c>
      <c r="K74" s="3">
        <f t="shared" si="1"/>
        <v>0.05418711229</v>
      </c>
      <c r="L74" s="3">
        <f t="shared" si="2"/>
        <v>0.7322398082</v>
      </c>
      <c r="M74" s="3">
        <f t="shared" si="3"/>
        <v>5.043476572</v>
      </c>
      <c r="N74" s="3">
        <f t="shared" si="4"/>
        <v>68.15337009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2.75" customHeight="1">
      <c r="A75" s="3" t="s">
        <v>236</v>
      </c>
      <c r="B75" s="3" t="s">
        <v>237</v>
      </c>
      <c r="C75" s="3" t="s">
        <v>138</v>
      </c>
      <c r="D75" s="3" t="s">
        <v>238</v>
      </c>
      <c r="E75" s="3" t="s">
        <v>18</v>
      </c>
      <c r="F75" s="3">
        <v>10.293</v>
      </c>
      <c r="G75" s="3">
        <v>0.6597729325294495</v>
      </c>
      <c r="H75" s="3">
        <v>9.610136032104492</v>
      </c>
      <c r="I75" s="3">
        <v>0.6201470454569228</v>
      </c>
      <c r="J75" s="3">
        <v>9.456615901052553</v>
      </c>
      <c r="K75" s="3">
        <f t="shared" si="1"/>
        <v>0.06383173539</v>
      </c>
      <c r="L75" s="3">
        <f t="shared" si="2"/>
        <v>0.9733694747</v>
      </c>
      <c r="M75" s="3">
        <f t="shared" si="3"/>
        <v>6.201470455</v>
      </c>
      <c r="N75" s="3">
        <f t="shared" si="4"/>
        <v>94.56615901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2.75" customHeight="1">
      <c r="A76" s="3" t="s">
        <v>239</v>
      </c>
      <c r="B76" s="3" t="s">
        <v>240</v>
      </c>
      <c r="C76" s="3" t="s">
        <v>138</v>
      </c>
      <c r="D76" s="3" t="s">
        <v>241</v>
      </c>
      <c r="E76" s="3" t="s">
        <v>18</v>
      </c>
      <c r="F76" s="3">
        <v>14.998</v>
      </c>
      <c r="G76" s="3">
        <v>0.6681024432182312</v>
      </c>
      <c r="H76" s="3">
        <v>11.55666732788086</v>
      </c>
      <c r="I76" s="3">
        <v>0.6279508215596985</v>
      </c>
      <c r="J76" s="3">
        <v>11.377376236722363</v>
      </c>
      <c r="K76" s="3">
        <f t="shared" si="1"/>
        <v>0.09418006422</v>
      </c>
      <c r="L76" s="3">
        <f t="shared" si="2"/>
        <v>1.706378888</v>
      </c>
      <c r="M76" s="3">
        <f t="shared" si="3"/>
        <v>6.279508216</v>
      </c>
      <c r="N76" s="3">
        <f t="shared" si="4"/>
        <v>113.7737624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2.75" customHeight="1">
      <c r="A77" s="3" t="s">
        <v>242</v>
      </c>
      <c r="B77" s="3" t="s">
        <v>243</v>
      </c>
      <c r="C77" s="3" t="s">
        <v>138</v>
      </c>
      <c r="D77" s="3" t="s">
        <v>244</v>
      </c>
      <c r="E77" s="3" t="s">
        <v>18</v>
      </c>
      <c r="F77" s="3">
        <v>12.383</v>
      </c>
      <c r="G77" s="3">
        <v>0.5840803384780884</v>
      </c>
      <c r="H77" s="3">
        <v>9.165229797363281</v>
      </c>
      <c r="I77" s="3">
        <v>0.5489559929973116</v>
      </c>
      <c r="J77" s="3">
        <v>9.02726550216145</v>
      </c>
      <c r="K77" s="3">
        <f t="shared" si="1"/>
        <v>0.06797722061</v>
      </c>
      <c r="L77" s="3">
        <f t="shared" si="2"/>
        <v>1.117846287</v>
      </c>
      <c r="M77" s="3">
        <f t="shared" si="3"/>
        <v>5.48955993</v>
      </c>
      <c r="N77" s="3">
        <f t="shared" si="4"/>
        <v>90.27265502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2.75" customHeight="1">
      <c r="A78" s="3" t="s">
        <v>245</v>
      </c>
      <c r="B78" s="3" t="s">
        <v>246</v>
      </c>
      <c r="C78" s="3" t="s">
        <v>138</v>
      </c>
      <c r="D78" s="3" t="s">
        <v>247</v>
      </c>
      <c r="E78" s="3" t="s">
        <v>18</v>
      </c>
      <c r="F78" s="3">
        <v>5.932</v>
      </c>
      <c r="G78" s="3">
        <v>2.078287363052368</v>
      </c>
      <c r="H78" s="3">
        <v>41.908870697021484</v>
      </c>
      <c r="I78" s="3">
        <v>1.9532280514098628</v>
      </c>
      <c r="J78" s="3">
        <v>41.2973573115666</v>
      </c>
      <c r="K78" s="3">
        <f t="shared" si="1"/>
        <v>0.115865488</v>
      </c>
      <c r="L78" s="3">
        <f t="shared" si="2"/>
        <v>2.449759236</v>
      </c>
      <c r="M78" s="3">
        <f t="shared" si="3"/>
        <v>19.53228051</v>
      </c>
      <c r="N78" s="3">
        <f t="shared" si="4"/>
        <v>412.9735731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2.75" customHeight="1">
      <c r="A79" s="3" t="s">
        <v>248</v>
      </c>
      <c r="B79" s="3" t="s">
        <v>249</v>
      </c>
      <c r="C79" s="3" t="s">
        <v>138</v>
      </c>
      <c r="D79" s="3" t="s">
        <v>250</v>
      </c>
      <c r="E79" s="3" t="s">
        <v>18</v>
      </c>
      <c r="F79" s="3">
        <v>6.515</v>
      </c>
      <c r="G79" s="3">
        <v>1.2167377471923828</v>
      </c>
      <c r="H79" s="3">
        <v>22.0931453704834</v>
      </c>
      <c r="I79" s="3">
        <v>1.143475116126298</v>
      </c>
      <c r="J79" s="3">
        <v>21.780979930051007</v>
      </c>
      <c r="K79" s="3">
        <f t="shared" si="1"/>
        <v>0.07449740382</v>
      </c>
      <c r="L79" s="3">
        <f t="shared" si="2"/>
        <v>1.419030842</v>
      </c>
      <c r="M79" s="3">
        <f t="shared" si="3"/>
        <v>11.43475116</v>
      </c>
      <c r="N79" s="3">
        <f t="shared" si="4"/>
        <v>217.8097993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2.75" customHeight="1">
      <c r="A80" s="3" t="s">
        <v>251</v>
      </c>
      <c r="B80" s="3" t="s">
        <v>252</v>
      </c>
      <c r="C80" s="3" t="s">
        <v>138</v>
      </c>
      <c r="D80" s="3" t="s">
        <v>253</v>
      </c>
      <c r="E80" s="3" t="s">
        <v>18</v>
      </c>
      <c r="F80" s="3">
        <v>7.03</v>
      </c>
      <c r="G80" s="3">
        <v>1.097738265991211</v>
      </c>
      <c r="H80" s="3">
        <v>22.546072006225586</v>
      </c>
      <c r="I80" s="3">
        <v>1.031599155560166</v>
      </c>
      <c r="J80" s="3">
        <v>22.237931712674445</v>
      </c>
      <c r="K80" s="3">
        <f t="shared" si="1"/>
        <v>0.07252142064</v>
      </c>
      <c r="L80" s="3">
        <f t="shared" si="2"/>
        <v>1.563326599</v>
      </c>
      <c r="M80" s="3">
        <f t="shared" si="3"/>
        <v>10.31599156</v>
      </c>
      <c r="N80" s="3">
        <f t="shared" si="4"/>
        <v>222.3793171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2.75" customHeight="1">
      <c r="A81" s="3" t="s">
        <v>254</v>
      </c>
      <c r="B81" s="3" t="s">
        <v>255</v>
      </c>
      <c r="C81" s="3" t="s">
        <v>138</v>
      </c>
      <c r="D81" s="3" t="s">
        <v>256</v>
      </c>
      <c r="E81" s="3" t="s">
        <v>18</v>
      </c>
      <c r="F81" s="3">
        <v>11.36</v>
      </c>
      <c r="G81" s="3">
        <v>0.592395544052124</v>
      </c>
      <c r="H81" s="3">
        <v>8.428139686584473</v>
      </c>
      <c r="I81" s="3">
        <v>0.5566808723682435</v>
      </c>
      <c r="J81" s="3">
        <v>8.31685134186186</v>
      </c>
      <c r="K81" s="3">
        <f t="shared" si="1"/>
        <v>0.0632389471</v>
      </c>
      <c r="L81" s="3">
        <f t="shared" si="2"/>
        <v>0.9447943124</v>
      </c>
      <c r="M81" s="3">
        <f t="shared" si="3"/>
        <v>5.566808724</v>
      </c>
      <c r="N81" s="3">
        <f t="shared" si="4"/>
        <v>83.16851342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2.75" customHeight="1">
      <c r="A82" s="4" t="s">
        <v>257</v>
      </c>
      <c r="B82" s="4" t="s">
        <v>258</v>
      </c>
      <c r="C82" s="4" t="s">
        <v>259</v>
      </c>
      <c r="D82" s="4" t="s">
        <v>48</v>
      </c>
      <c r="E82" s="4" t="s">
        <v>18</v>
      </c>
      <c r="F82" s="4">
        <v>9.848</v>
      </c>
      <c r="G82" s="4">
        <v>1.0176527500152588</v>
      </c>
      <c r="H82" s="4">
        <v>15.02796745300293</v>
      </c>
      <c r="I82" s="4">
        <v>1.0129842290456335</v>
      </c>
      <c r="J82" s="4">
        <v>15.009119861535938</v>
      </c>
      <c r="K82" s="3">
        <f t="shared" si="1"/>
        <v>0.09975868688</v>
      </c>
      <c r="L82" s="3">
        <f t="shared" si="2"/>
        <v>1.478098124</v>
      </c>
      <c r="M82" s="3">
        <f t="shared" si="3"/>
        <v>10.12984229</v>
      </c>
      <c r="N82" s="3">
        <f t="shared" si="4"/>
        <v>150.0911986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2.75" customHeight="1">
      <c r="A83" s="4" t="s">
        <v>260</v>
      </c>
      <c r="B83" s="4" t="s">
        <v>261</v>
      </c>
      <c r="C83" s="4" t="s">
        <v>259</v>
      </c>
      <c r="D83" s="4" t="s">
        <v>51</v>
      </c>
      <c r="E83" s="4" t="s">
        <v>18</v>
      </c>
      <c r="F83" s="4">
        <v>6.608</v>
      </c>
      <c r="G83" s="4">
        <v>1.315750241279602</v>
      </c>
      <c r="H83" s="4">
        <v>22.50351905822754</v>
      </c>
      <c r="I83" s="4">
        <v>1.306716883736267</v>
      </c>
      <c r="J83" s="4">
        <v>22.46121268233931</v>
      </c>
      <c r="K83" s="3">
        <f t="shared" si="1"/>
        <v>0.08634785168</v>
      </c>
      <c r="L83" s="3">
        <f t="shared" si="2"/>
        <v>1.484236934</v>
      </c>
      <c r="M83" s="3">
        <f t="shared" si="3"/>
        <v>13.06716884</v>
      </c>
      <c r="N83" s="3">
        <f t="shared" si="4"/>
        <v>224.6121268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2.75" customHeight="1">
      <c r="A84" s="4" t="s">
        <v>262</v>
      </c>
      <c r="B84" s="4" t="s">
        <v>263</v>
      </c>
      <c r="C84" s="4" t="s">
        <v>259</v>
      </c>
      <c r="D84" s="4" t="s">
        <v>54</v>
      </c>
      <c r="E84" s="4" t="s">
        <v>18</v>
      </c>
      <c r="F84" s="4">
        <v>9.976</v>
      </c>
      <c r="G84" s="4">
        <v>1.0318373441696167</v>
      </c>
      <c r="H84" s="4">
        <v>16.07476806640625</v>
      </c>
      <c r="I84" s="4">
        <v>1.022413464362919</v>
      </c>
      <c r="J84" s="4">
        <v>16.034498963164044</v>
      </c>
      <c r="K84" s="3">
        <f t="shared" si="1"/>
        <v>0.1019959672</v>
      </c>
      <c r="L84" s="3">
        <f t="shared" si="2"/>
        <v>1.599601617</v>
      </c>
      <c r="M84" s="3">
        <f t="shared" si="3"/>
        <v>10.22413464</v>
      </c>
      <c r="N84" s="3">
        <f t="shared" si="4"/>
        <v>160.3449896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2.75" customHeight="1">
      <c r="A85" s="4" t="s">
        <v>264</v>
      </c>
      <c r="B85" s="4" t="s">
        <v>265</v>
      </c>
      <c r="C85" s="4" t="s">
        <v>259</v>
      </c>
      <c r="D85" s="4" t="s">
        <v>266</v>
      </c>
      <c r="E85" s="4" t="s">
        <v>18</v>
      </c>
      <c r="F85" s="4">
        <v>6.198</v>
      </c>
      <c r="G85" s="4">
        <v>1.9028548002243042</v>
      </c>
      <c r="H85" s="4">
        <v>34.510719299316406</v>
      </c>
      <c r="I85" s="4">
        <v>1.8811806538573526</v>
      </c>
      <c r="J85" s="4">
        <v>34.40272042776616</v>
      </c>
      <c r="K85" s="3">
        <f t="shared" si="1"/>
        <v>0.1165955769</v>
      </c>
      <c r="L85" s="3">
        <f t="shared" si="2"/>
        <v>2.132280612</v>
      </c>
      <c r="M85" s="3">
        <f t="shared" si="3"/>
        <v>18.81180654</v>
      </c>
      <c r="N85" s="3">
        <f t="shared" si="4"/>
        <v>344.0272043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2.75" customHeight="1">
      <c r="A86" s="4" t="s">
        <v>267</v>
      </c>
      <c r="B86" s="4" t="s">
        <v>268</v>
      </c>
      <c r="C86" s="4" t="s">
        <v>259</v>
      </c>
      <c r="D86" s="4" t="s">
        <v>60</v>
      </c>
      <c r="E86" s="4" t="s">
        <v>18</v>
      </c>
      <c r="F86" s="4">
        <v>6.774</v>
      </c>
      <c r="G86" s="4">
        <v>2.2166059017181396</v>
      </c>
      <c r="H86" s="4">
        <v>37.4531364440918</v>
      </c>
      <c r="I86" s="4">
        <v>2.1863774505826226</v>
      </c>
      <c r="J86" s="4">
        <v>37.31257864105047</v>
      </c>
      <c r="K86" s="3">
        <f t="shared" si="1"/>
        <v>0.1481052085</v>
      </c>
      <c r="L86" s="3">
        <f t="shared" si="2"/>
        <v>2.527554077</v>
      </c>
      <c r="M86" s="3">
        <f t="shared" si="3"/>
        <v>21.86377451</v>
      </c>
      <c r="N86" s="3">
        <f t="shared" si="4"/>
        <v>373.1257864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2.75" customHeight="1">
      <c r="A87" s="4" t="s">
        <v>269</v>
      </c>
      <c r="B87" s="4" t="s">
        <v>270</v>
      </c>
      <c r="C87" s="4" t="s">
        <v>259</v>
      </c>
      <c r="D87" s="4" t="s">
        <v>63</v>
      </c>
      <c r="E87" s="4" t="s">
        <v>18</v>
      </c>
      <c r="F87" s="4">
        <v>6.29</v>
      </c>
      <c r="G87" s="4">
        <v>1.2747209072113037</v>
      </c>
      <c r="H87" s="4">
        <v>23.303874969482422</v>
      </c>
      <c r="I87" s="4">
        <v>1.2544858139476378</v>
      </c>
      <c r="J87" s="4">
        <v>23.201905414353867</v>
      </c>
      <c r="K87" s="3">
        <f t="shared" si="1"/>
        <v>0.0789071577</v>
      </c>
      <c r="L87" s="3">
        <f t="shared" si="2"/>
        <v>1.459399851</v>
      </c>
      <c r="M87" s="3">
        <f t="shared" si="3"/>
        <v>12.54485814</v>
      </c>
      <c r="N87" s="3">
        <f t="shared" si="4"/>
        <v>232.0190541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2.75" customHeight="1">
      <c r="A88" s="4" t="s">
        <v>271</v>
      </c>
      <c r="B88" s="4" t="s">
        <v>272</v>
      </c>
      <c r="C88" s="4" t="s">
        <v>259</v>
      </c>
      <c r="D88" s="4" t="s">
        <v>66</v>
      </c>
      <c r="E88" s="4" t="s">
        <v>18</v>
      </c>
      <c r="F88" s="4">
        <v>6.619</v>
      </c>
      <c r="G88" s="4">
        <v>1.410637378692627</v>
      </c>
      <c r="H88" s="4">
        <v>23.332656860351562</v>
      </c>
      <c r="I88" s="4">
        <v>1.3851036580155875</v>
      </c>
      <c r="J88" s="4">
        <v>23.216049956606284</v>
      </c>
      <c r="K88" s="3">
        <f t="shared" si="1"/>
        <v>0.09168001112</v>
      </c>
      <c r="L88" s="3">
        <f t="shared" si="2"/>
        <v>1.536670347</v>
      </c>
      <c r="M88" s="3">
        <f t="shared" si="3"/>
        <v>13.85103658</v>
      </c>
      <c r="N88" s="3">
        <f t="shared" si="4"/>
        <v>232.1604996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2.75" customHeight="1">
      <c r="A89" s="4" t="s">
        <v>273</v>
      </c>
      <c r="B89" s="4" t="s">
        <v>274</v>
      </c>
      <c r="C89" s="4" t="s">
        <v>259</v>
      </c>
      <c r="D89" s="4" t="s">
        <v>275</v>
      </c>
      <c r="E89" s="4" t="s">
        <v>18</v>
      </c>
      <c r="F89" s="4">
        <v>10.643</v>
      </c>
      <c r="G89" s="4">
        <v>1.0931448936462402</v>
      </c>
      <c r="H89" s="4">
        <v>14.28792667388916</v>
      </c>
      <c r="I89" s="4">
        <v>1.0709349676574116</v>
      </c>
      <c r="J89" s="4">
        <v>14.207645024725956</v>
      </c>
      <c r="K89" s="3">
        <f t="shared" si="1"/>
        <v>0.1139796086</v>
      </c>
      <c r="L89" s="3">
        <f t="shared" si="2"/>
        <v>1.51211966</v>
      </c>
      <c r="M89" s="3">
        <f t="shared" si="3"/>
        <v>10.70934968</v>
      </c>
      <c r="N89" s="3">
        <f t="shared" si="4"/>
        <v>142.0764502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2.75" customHeight="1">
      <c r="A90" s="4" t="s">
        <v>276</v>
      </c>
      <c r="B90" s="4" t="s">
        <v>277</v>
      </c>
      <c r="C90" s="4" t="s">
        <v>259</v>
      </c>
      <c r="D90" s="4" t="s">
        <v>72</v>
      </c>
      <c r="E90" s="4" t="s">
        <v>18</v>
      </c>
      <c r="F90" s="4">
        <v>6.073</v>
      </c>
      <c r="G90" s="4">
        <v>2.4064972400665283</v>
      </c>
      <c r="H90" s="4">
        <v>38.2244873046875</v>
      </c>
      <c r="I90" s="4">
        <v>2.3522931985728737</v>
      </c>
      <c r="J90" s="4">
        <v>37.98599791088264</v>
      </c>
      <c r="K90" s="3">
        <f t="shared" si="1"/>
        <v>0.1428547659</v>
      </c>
      <c r="L90" s="3">
        <f t="shared" si="2"/>
        <v>2.306889653</v>
      </c>
      <c r="M90" s="3">
        <f t="shared" si="3"/>
        <v>23.52293199</v>
      </c>
      <c r="N90" s="3">
        <f t="shared" si="4"/>
        <v>379.8599791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2.75" customHeight="1">
      <c r="A91" s="4" t="s">
        <v>278</v>
      </c>
      <c r="B91" s="4" t="s">
        <v>279</v>
      </c>
      <c r="C91" s="4" t="s">
        <v>259</v>
      </c>
      <c r="D91" s="4" t="s">
        <v>75</v>
      </c>
      <c r="E91" s="4" t="s">
        <v>18</v>
      </c>
      <c r="F91" s="4">
        <v>9.749</v>
      </c>
      <c r="G91" s="4">
        <v>1.0130760669708252</v>
      </c>
      <c r="H91" s="4">
        <v>13.8204927444458</v>
      </c>
      <c r="I91" s="4">
        <v>0.9880319508167021</v>
      </c>
      <c r="J91" s="4">
        <v>13.725699550279389</v>
      </c>
      <c r="K91" s="3">
        <f t="shared" si="1"/>
        <v>0.09632323489</v>
      </c>
      <c r="L91" s="3">
        <f t="shared" si="2"/>
        <v>1.338118449</v>
      </c>
      <c r="M91" s="3">
        <f t="shared" si="3"/>
        <v>9.880319508</v>
      </c>
      <c r="N91" s="3">
        <f t="shared" si="4"/>
        <v>137.2569955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2.75" customHeight="1">
      <c r="A92" s="4" t="s">
        <v>280</v>
      </c>
      <c r="B92" s="4" t="s">
        <v>281</v>
      </c>
      <c r="C92" s="4" t="s">
        <v>259</v>
      </c>
      <c r="D92" s="4" t="s">
        <v>78</v>
      </c>
      <c r="E92" s="4" t="s">
        <v>18</v>
      </c>
      <c r="F92" s="4">
        <v>6.597</v>
      </c>
      <c r="G92" s="4">
        <v>1.7969372272491455</v>
      </c>
      <c r="H92" s="4">
        <v>45.579959869384766</v>
      </c>
      <c r="I92" s="4">
        <v>1.7430792751983757</v>
      </c>
      <c r="J92" s="4">
        <v>45.1915978798058</v>
      </c>
      <c r="K92" s="3">
        <f t="shared" si="1"/>
        <v>0.1149909398</v>
      </c>
      <c r="L92" s="3">
        <f t="shared" si="2"/>
        <v>2.981289712</v>
      </c>
      <c r="M92" s="3">
        <f t="shared" si="3"/>
        <v>17.43079275</v>
      </c>
      <c r="N92" s="3">
        <f t="shared" si="4"/>
        <v>451.9159788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2.75" customHeight="1">
      <c r="A93" s="4" t="s">
        <v>282</v>
      </c>
      <c r="B93" s="4" t="s">
        <v>283</v>
      </c>
      <c r="C93" s="4" t="s">
        <v>259</v>
      </c>
      <c r="D93" s="4" t="s">
        <v>284</v>
      </c>
      <c r="E93" s="4" t="s">
        <v>18</v>
      </c>
      <c r="F93" s="4">
        <v>6.566</v>
      </c>
      <c r="G93" s="4">
        <v>1.4641259908676147</v>
      </c>
      <c r="H93" s="4">
        <v>45.61325454711914</v>
      </c>
      <c r="I93" s="4">
        <v>1.4189462627790805</v>
      </c>
      <c r="J93" s="4">
        <v>45.20525095073336</v>
      </c>
      <c r="K93" s="3">
        <f t="shared" si="1"/>
        <v>0.09316801161</v>
      </c>
      <c r="L93" s="3">
        <f t="shared" si="2"/>
        <v>2.968176777</v>
      </c>
      <c r="M93" s="3">
        <f t="shared" si="3"/>
        <v>14.18946263</v>
      </c>
      <c r="N93" s="3">
        <f t="shared" si="4"/>
        <v>452.0525095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2.75" customHeight="1">
      <c r="A94" s="4" t="s">
        <v>285</v>
      </c>
      <c r="B94" s="4" t="s">
        <v>286</v>
      </c>
      <c r="C94" s="4" t="s">
        <v>259</v>
      </c>
      <c r="D94" s="4" t="s">
        <v>287</v>
      </c>
      <c r="E94" s="4" t="s">
        <v>18</v>
      </c>
      <c r="F94" s="4">
        <v>7.977</v>
      </c>
      <c r="G94" s="4">
        <v>1.0927205085754395</v>
      </c>
      <c r="H94" s="4">
        <v>34.7242431640625</v>
      </c>
      <c r="I94" s="4">
        <v>1.0580354851927565</v>
      </c>
      <c r="J94" s="4">
        <v>34.39891930023686</v>
      </c>
      <c r="K94" s="3">
        <f t="shared" si="1"/>
        <v>0.08439949065</v>
      </c>
      <c r="L94" s="3">
        <f t="shared" si="2"/>
        <v>2.744001793</v>
      </c>
      <c r="M94" s="3">
        <f t="shared" si="3"/>
        <v>10.58035485</v>
      </c>
      <c r="N94" s="3">
        <f t="shared" si="4"/>
        <v>343.989193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2.75" customHeight="1">
      <c r="A95" s="4" t="s">
        <v>288</v>
      </c>
      <c r="B95" s="4" t="s">
        <v>289</v>
      </c>
      <c r="C95" s="4" t="s">
        <v>259</v>
      </c>
      <c r="D95" s="4" t="s">
        <v>87</v>
      </c>
      <c r="E95" s="4" t="s">
        <v>18</v>
      </c>
      <c r="F95" s="4">
        <v>8.019</v>
      </c>
      <c r="G95" s="4">
        <v>0.927277147769928</v>
      </c>
      <c r="H95" s="4">
        <v>23.560022354125977</v>
      </c>
      <c r="I95" s="4">
        <v>0.8970252676591075</v>
      </c>
      <c r="J95" s="4">
        <v>23.329315087205604</v>
      </c>
      <c r="K95" s="3">
        <f t="shared" si="1"/>
        <v>0.07193245621</v>
      </c>
      <c r="L95" s="3">
        <f t="shared" si="2"/>
        <v>1.870777777</v>
      </c>
      <c r="M95" s="3">
        <f t="shared" si="3"/>
        <v>8.970252677</v>
      </c>
      <c r="N95" s="3">
        <f t="shared" si="4"/>
        <v>233.2931509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2.75" customHeight="1">
      <c r="A96" s="4" t="s">
        <v>290</v>
      </c>
      <c r="B96" s="4" t="s">
        <v>291</v>
      </c>
      <c r="C96" s="4" t="s">
        <v>259</v>
      </c>
      <c r="D96" s="4" t="s">
        <v>90</v>
      </c>
      <c r="E96" s="4" t="s">
        <v>18</v>
      </c>
      <c r="F96" s="4">
        <v>6.528</v>
      </c>
      <c r="G96" s="4">
        <v>1.5149015188217163</v>
      </c>
      <c r="H96" s="4">
        <v>36.1494255065918</v>
      </c>
      <c r="I96" s="4">
        <v>1.46414428379395</v>
      </c>
      <c r="J96" s="4">
        <v>35.78013698114918</v>
      </c>
      <c r="K96" s="3">
        <f t="shared" si="1"/>
        <v>0.09557933885</v>
      </c>
      <c r="L96" s="3">
        <f t="shared" si="2"/>
        <v>2.335727342</v>
      </c>
      <c r="M96" s="3">
        <f t="shared" si="3"/>
        <v>14.64144284</v>
      </c>
      <c r="N96" s="3">
        <f t="shared" si="4"/>
        <v>357.8013698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2.75" customHeight="1">
      <c r="A97" s="4" t="s">
        <v>292</v>
      </c>
      <c r="B97" s="4" t="s">
        <v>293</v>
      </c>
      <c r="C97" s="4" t="s">
        <v>259</v>
      </c>
      <c r="D97" s="4" t="s">
        <v>294</v>
      </c>
      <c r="E97" s="4" t="s">
        <v>18</v>
      </c>
      <c r="F97" s="4">
        <v>6.21</v>
      </c>
      <c r="G97" s="4">
        <v>1.4796472787857056</v>
      </c>
      <c r="H97" s="4">
        <v>45.74494171142578</v>
      </c>
      <c r="I97" s="4">
        <v>1.4287702049604423</v>
      </c>
      <c r="J97" s="4">
        <v>45.25828708921446</v>
      </c>
      <c r="K97" s="3">
        <f t="shared" si="1"/>
        <v>0.08872662973</v>
      </c>
      <c r="L97" s="3">
        <f t="shared" si="2"/>
        <v>2.810539628</v>
      </c>
      <c r="M97" s="3">
        <f t="shared" si="3"/>
        <v>14.28770205</v>
      </c>
      <c r="N97" s="3">
        <f t="shared" si="4"/>
        <v>452.5828709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2.75" customHeight="1">
      <c r="A98" s="4" t="s">
        <v>295</v>
      </c>
      <c r="B98" s="4" t="s">
        <v>296</v>
      </c>
      <c r="C98" s="4" t="s">
        <v>259</v>
      </c>
      <c r="D98" s="4" t="s">
        <v>297</v>
      </c>
      <c r="E98" s="4" t="s">
        <v>18</v>
      </c>
      <c r="F98" s="4">
        <v>7.465</v>
      </c>
      <c r="G98" s="4">
        <v>1.8292096853256226</v>
      </c>
      <c r="H98" s="4">
        <v>39.82756423950195</v>
      </c>
      <c r="I98" s="4">
        <v>1.7647076236041972</v>
      </c>
      <c r="J98" s="4">
        <v>39.387034266818205</v>
      </c>
      <c r="K98" s="3">
        <f t="shared" si="1"/>
        <v>0.1317354241</v>
      </c>
      <c r="L98" s="3">
        <f t="shared" si="2"/>
        <v>2.940242108</v>
      </c>
      <c r="M98" s="3">
        <f t="shared" si="3"/>
        <v>17.64707624</v>
      </c>
      <c r="N98" s="3">
        <f t="shared" si="4"/>
        <v>393.8703427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2.75" customHeight="1">
      <c r="A99" s="4" t="s">
        <v>298</v>
      </c>
      <c r="B99" s="4" t="s">
        <v>299</v>
      </c>
      <c r="C99" s="4" t="s">
        <v>259</v>
      </c>
      <c r="D99" s="4" t="s">
        <v>99</v>
      </c>
      <c r="E99" s="4" t="s">
        <v>18</v>
      </c>
      <c r="F99" s="4">
        <v>8.088</v>
      </c>
      <c r="G99" s="4">
        <v>1.351908802986145</v>
      </c>
      <c r="H99" s="4">
        <v>42.2059211730957</v>
      </c>
      <c r="I99" s="4">
        <v>1.3030530624771168</v>
      </c>
      <c r="J99" s="4">
        <v>41.72126837174292</v>
      </c>
      <c r="K99" s="3">
        <f t="shared" si="1"/>
        <v>0.1053909317</v>
      </c>
      <c r="L99" s="3">
        <f t="shared" si="2"/>
        <v>3.374416186</v>
      </c>
      <c r="M99" s="3">
        <f t="shared" si="3"/>
        <v>13.03053062</v>
      </c>
      <c r="N99" s="3">
        <f t="shared" si="4"/>
        <v>417.2126837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2.75" customHeight="1">
      <c r="A100" s="4" t="s">
        <v>300</v>
      </c>
      <c r="B100" s="4" t="s">
        <v>301</v>
      </c>
      <c r="C100" s="4" t="s">
        <v>259</v>
      </c>
      <c r="D100" s="4" t="s">
        <v>102</v>
      </c>
      <c r="E100" s="4" t="s">
        <v>18</v>
      </c>
      <c r="F100" s="4">
        <v>7.25</v>
      </c>
      <c r="G100" s="4">
        <v>1.3851096630096436</v>
      </c>
      <c r="H100" s="4">
        <v>39.54823684692383</v>
      </c>
      <c r="I100" s="4">
        <v>1.3338428211068578</v>
      </c>
      <c r="J100" s="4">
        <v>39.077419006270055</v>
      </c>
      <c r="K100" s="3">
        <f t="shared" si="1"/>
        <v>0.09670360453</v>
      </c>
      <c r="L100" s="3">
        <f t="shared" si="2"/>
        <v>2.833112878</v>
      </c>
      <c r="M100" s="3">
        <f t="shared" si="3"/>
        <v>13.33842821</v>
      </c>
      <c r="N100" s="3">
        <f t="shared" si="4"/>
        <v>390.7741901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2.75" customHeight="1">
      <c r="A101" s="4" t="s">
        <v>302</v>
      </c>
      <c r="B101" s="4" t="s">
        <v>303</v>
      </c>
      <c r="C101" s="4" t="s">
        <v>259</v>
      </c>
      <c r="D101" s="4" t="s">
        <v>304</v>
      </c>
      <c r="E101" s="4" t="s">
        <v>18</v>
      </c>
      <c r="F101" s="4">
        <v>6.438</v>
      </c>
      <c r="G101" s="4">
        <v>2.020554542541504</v>
      </c>
      <c r="H101" s="4">
        <v>44.02849578857422</v>
      </c>
      <c r="I101" s="4">
        <v>1.9440042072229502</v>
      </c>
      <c r="J101" s="4">
        <v>43.48578760395323</v>
      </c>
      <c r="K101" s="3">
        <f t="shared" si="1"/>
        <v>0.1251549909</v>
      </c>
      <c r="L101" s="3">
        <f t="shared" si="2"/>
        <v>2.799615006</v>
      </c>
      <c r="M101" s="3">
        <f t="shared" si="3"/>
        <v>19.44004207</v>
      </c>
      <c r="N101" s="3">
        <f t="shared" si="4"/>
        <v>434.857876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2.75" customHeight="1">
      <c r="A102" s="4" t="s">
        <v>305</v>
      </c>
      <c r="B102" s="4" t="s">
        <v>306</v>
      </c>
      <c r="C102" s="4" t="s">
        <v>259</v>
      </c>
      <c r="D102" s="4" t="s">
        <v>307</v>
      </c>
      <c r="E102" s="4" t="s">
        <v>18</v>
      </c>
      <c r="F102" s="4">
        <v>13.112</v>
      </c>
      <c r="G102" s="4">
        <v>0.8417238593101501</v>
      </c>
      <c r="H102" s="4">
        <v>11.06296157836914</v>
      </c>
      <c r="I102" s="4">
        <v>0.8078756403485601</v>
      </c>
      <c r="J102" s="4">
        <v>10.916758736717425</v>
      </c>
      <c r="K102" s="3">
        <f t="shared" si="1"/>
        <v>0.105928654</v>
      </c>
      <c r="L102" s="3">
        <f t="shared" si="2"/>
        <v>1.431405406</v>
      </c>
      <c r="M102" s="3">
        <f t="shared" si="3"/>
        <v>8.078756403</v>
      </c>
      <c r="N102" s="3">
        <f t="shared" si="4"/>
        <v>109.1675874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2.75" customHeight="1">
      <c r="A103" s="4" t="s">
        <v>308</v>
      </c>
      <c r="B103" s="4" t="s">
        <v>309</v>
      </c>
      <c r="C103" s="4" t="s">
        <v>259</v>
      </c>
      <c r="D103" s="4" t="s">
        <v>111</v>
      </c>
      <c r="E103" s="4" t="s">
        <v>18</v>
      </c>
      <c r="F103" s="4">
        <v>10.948</v>
      </c>
      <c r="G103" s="4">
        <v>0.7768502235412598</v>
      </c>
      <c r="H103" s="4">
        <v>9.612038612365723</v>
      </c>
      <c r="I103" s="4">
        <v>0.7451559216338098</v>
      </c>
      <c r="J103" s="4">
        <v>9.4845545750617</v>
      </c>
      <c r="K103" s="3">
        <f t="shared" si="1"/>
        <v>0.0815796703</v>
      </c>
      <c r="L103" s="3">
        <f t="shared" si="2"/>
        <v>1.038369035</v>
      </c>
      <c r="M103" s="3">
        <f t="shared" si="3"/>
        <v>7.451559216</v>
      </c>
      <c r="N103" s="3">
        <f t="shared" si="4"/>
        <v>94.84554575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2.75" customHeight="1">
      <c r="A104" s="4" t="s">
        <v>310</v>
      </c>
      <c r="B104" s="4" t="s">
        <v>311</v>
      </c>
      <c r="C104" s="4" t="s">
        <v>259</v>
      </c>
      <c r="D104" s="4" t="s">
        <v>114</v>
      </c>
      <c r="E104" s="4" t="s">
        <v>18</v>
      </c>
      <c r="F104" s="4">
        <v>14.675</v>
      </c>
      <c r="G104" s="4">
        <v>0.8840670585632324</v>
      </c>
      <c r="H104" s="4">
        <v>12.012887954711914</v>
      </c>
      <c r="I104" s="4">
        <v>0.8474815843718179</v>
      </c>
      <c r="J104" s="4">
        <v>11.852992376919982</v>
      </c>
      <c r="K104" s="3">
        <f t="shared" si="1"/>
        <v>0.1243679225</v>
      </c>
      <c r="L104" s="3">
        <f t="shared" si="2"/>
        <v>1.739426631</v>
      </c>
      <c r="M104" s="3">
        <f t="shared" si="3"/>
        <v>8.474815844</v>
      </c>
      <c r="N104" s="3">
        <f t="shared" si="4"/>
        <v>118.5299238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2.75" customHeight="1">
      <c r="A105" s="4" t="s">
        <v>312</v>
      </c>
      <c r="B105" s="4" t="s">
        <v>313</v>
      </c>
      <c r="C105" s="4" t="s">
        <v>259</v>
      </c>
      <c r="D105" s="4" t="s">
        <v>117</v>
      </c>
      <c r="E105" s="4" t="s">
        <v>18</v>
      </c>
      <c r="F105" s="4">
        <v>12.97</v>
      </c>
      <c r="G105" s="4">
        <v>0.8322925567626953</v>
      </c>
      <c r="H105" s="4">
        <v>14.15841293334961</v>
      </c>
      <c r="I105" s="4">
        <v>0.7973636245279598</v>
      </c>
      <c r="J105" s="4">
        <v>13.969287582793163</v>
      </c>
      <c r="K105" s="3">
        <f t="shared" si="1"/>
        <v>0.1034180621</v>
      </c>
      <c r="L105" s="3">
        <f t="shared" si="2"/>
        <v>1.811816599</v>
      </c>
      <c r="M105" s="3">
        <f t="shared" si="3"/>
        <v>7.973636245</v>
      </c>
      <c r="N105" s="3">
        <f t="shared" si="4"/>
        <v>139.6928758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2.75" customHeight="1">
      <c r="A106" s="4" t="s">
        <v>314</v>
      </c>
      <c r="B106" s="4" t="s">
        <v>315</v>
      </c>
      <c r="C106" s="4" t="s">
        <v>259</v>
      </c>
      <c r="D106" s="4" t="s">
        <v>316</v>
      </c>
      <c r="E106" s="4" t="s">
        <v>18</v>
      </c>
      <c r="F106" s="4">
        <v>13.69</v>
      </c>
      <c r="G106" s="4">
        <v>1.2790364027023315</v>
      </c>
      <c r="H106" s="4">
        <v>20.89557456970215</v>
      </c>
      <c r="I106" s="4">
        <v>1.2246127127715767</v>
      </c>
      <c r="J106" s="4">
        <v>20.615463820868637</v>
      </c>
      <c r="K106" s="3">
        <f t="shared" si="1"/>
        <v>0.1676494804</v>
      </c>
      <c r="L106" s="3">
        <f t="shared" si="2"/>
        <v>2.822256997</v>
      </c>
      <c r="M106" s="3">
        <f t="shared" si="3"/>
        <v>12.24612713</v>
      </c>
      <c r="N106" s="3">
        <f t="shared" si="4"/>
        <v>206.1546382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2.75" customHeight="1">
      <c r="A107" s="4" t="s">
        <v>317</v>
      </c>
      <c r="B107" s="4" t="s">
        <v>318</v>
      </c>
      <c r="C107" s="4" t="s">
        <v>259</v>
      </c>
      <c r="D107" s="4" t="s">
        <v>123</v>
      </c>
      <c r="E107" s="4" t="s">
        <v>18</v>
      </c>
      <c r="F107" s="4">
        <v>14.08</v>
      </c>
      <c r="G107" s="4">
        <v>0.9971356391906738</v>
      </c>
      <c r="H107" s="4">
        <v>17.17853355407715</v>
      </c>
      <c r="I107" s="4">
        <v>0.9541261183153031</v>
      </c>
      <c r="J107" s="4">
        <v>16.947437695348853</v>
      </c>
      <c r="K107" s="3">
        <f t="shared" si="1"/>
        <v>0.1343409575</v>
      </c>
      <c r="L107" s="3">
        <f t="shared" si="2"/>
        <v>2.386199228</v>
      </c>
      <c r="M107" s="3">
        <f t="shared" si="3"/>
        <v>9.541261183</v>
      </c>
      <c r="N107" s="3">
        <f t="shared" si="4"/>
        <v>169.474377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2.75" customHeight="1">
      <c r="A108" s="4" t="s">
        <v>319</v>
      </c>
      <c r="B108" s="4" t="s">
        <v>320</v>
      </c>
      <c r="C108" s="4" t="s">
        <v>259</v>
      </c>
      <c r="D108" s="4" t="s">
        <v>126</v>
      </c>
      <c r="E108" s="4" t="s">
        <v>18</v>
      </c>
      <c r="F108" s="4">
        <v>15.514</v>
      </c>
      <c r="G108" s="4">
        <v>0.8968965411186218</v>
      </c>
      <c r="H108" s="4">
        <v>12.7843017578125</v>
      </c>
      <c r="I108" s="4">
        <v>0.8576887781522837</v>
      </c>
      <c r="J108" s="4">
        <v>12.611712885544335</v>
      </c>
      <c r="K108" s="3">
        <f t="shared" si="1"/>
        <v>0.133061837</v>
      </c>
      <c r="L108" s="3">
        <f t="shared" si="2"/>
        <v>1.956581137</v>
      </c>
      <c r="M108" s="3">
        <f t="shared" si="3"/>
        <v>8.576887782</v>
      </c>
      <c r="N108" s="3">
        <f t="shared" si="4"/>
        <v>126.1171289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2.75" customHeight="1">
      <c r="A109" s="4" t="s">
        <v>321</v>
      </c>
      <c r="B109" s="4" t="s">
        <v>322</v>
      </c>
      <c r="C109" s="4" t="s">
        <v>259</v>
      </c>
      <c r="D109" s="4" t="s">
        <v>129</v>
      </c>
      <c r="E109" s="4" t="s">
        <v>18</v>
      </c>
      <c r="F109" s="4">
        <v>12.688</v>
      </c>
      <c r="G109" s="4">
        <v>0.9524616003036499</v>
      </c>
      <c r="H109" s="4">
        <v>12.494880676269531</v>
      </c>
      <c r="I109" s="4">
        <v>0.9102712226337387</v>
      </c>
      <c r="J109" s="4">
        <v>12.325607144354057</v>
      </c>
      <c r="K109" s="3">
        <f t="shared" si="1"/>
        <v>0.1154952127</v>
      </c>
      <c r="L109" s="3">
        <f t="shared" si="2"/>
        <v>1.563873034</v>
      </c>
      <c r="M109" s="3">
        <f t="shared" si="3"/>
        <v>9.102712226</v>
      </c>
      <c r="N109" s="3">
        <f t="shared" si="4"/>
        <v>123.2560714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2.75" customHeight="1">
      <c r="A110" s="4" t="s">
        <v>323</v>
      </c>
      <c r="B110" s="4" t="s">
        <v>324</v>
      </c>
      <c r="C110" s="4" t="s">
        <v>259</v>
      </c>
      <c r="D110" s="4" t="s">
        <v>325</v>
      </c>
      <c r="E110" s="4" t="s">
        <v>18</v>
      </c>
      <c r="F110" s="4">
        <v>14.332</v>
      </c>
      <c r="G110" s="4">
        <v>0.7494142651557922</v>
      </c>
      <c r="H110" s="4">
        <v>11.368247985839844</v>
      </c>
      <c r="I110" s="4">
        <v>0.7157831277912565</v>
      </c>
      <c r="J110" s="4">
        <v>11.21369819055108</v>
      </c>
      <c r="K110" s="3">
        <f t="shared" si="1"/>
        <v>0.1025860379</v>
      </c>
      <c r="L110" s="3">
        <f t="shared" si="2"/>
        <v>1.607147225</v>
      </c>
      <c r="M110" s="3">
        <f t="shared" si="3"/>
        <v>7.157831278</v>
      </c>
      <c r="N110" s="3">
        <f t="shared" si="4"/>
        <v>112.1369819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2.75" customHeight="1">
      <c r="A111" s="4" t="s">
        <v>326</v>
      </c>
      <c r="B111" s="4" t="s">
        <v>327</v>
      </c>
      <c r="C111" s="4" t="s">
        <v>259</v>
      </c>
      <c r="D111" s="4" t="s">
        <v>135</v>
      </c>
      <c r="E111" s="4" t="s">
        <v>18</v>
      </c>
      <c r="F111" s="4">
        <v>13.161</v>
      </c>
      <c r="G111" s="4">
        <v>0.9401882290840149</v>
      </c>
      <c r="H111" s="4">
        <v>13.707616806030273</v>
      </c>
      <c r="I111" s="4">
        <v>0.8974507157519099</v>
      </c>
      <c r="J111" s="4">
        <v>13.520614869521431</v>
      </c>
      <c r="K111" s="3">
        <f t="shared" si="1"/>
        <v>0.1181134887</v>
      </c>
      <c r="L111" s="3">
        <f t="shared" si="2"/>
        <v>1.779448123</v>
      </c>
      <c r="M111" s="3">
        <f t="shared" si="3"/>
        <v>8.974507158</v>
      </c>
      <c r="N111" s="3">
        <f t="shared" si="4"/>
        <v>135.2061487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2.75" customHeight="1">
      <c r="A112" s="4" t="s">
        <v>328</v>
      </c>
      <c r="B112" s="4" t="s">
        <v>329</v>
      </c>
      <c r="C112" s="4" t="s">
        <v>259</v>
      </c>
      <c r="D112" s="4" t="s">
        <v>330</v>
      </c>
      <c r="E112" s="4" t="s">
        <v>18</v>
      </c>
      <c r="F112" s="4">
        <v>12.342</v>
      </c>
      <c r="G112" s="4">
        <v>0.7790320515632629</v>
      </c>
      <c r="H112" s="4">
        <v>15.016526222229004</v>
      </c>
      <c r="I112" s="4">
        <v>0.7420686905124284</v>
      </c>
      <c r="J112" s="4">
        <v>14.811587662833677</v>
      </c>
      <c r="K112" s="3">
        <f t="shared" si="1"/>
        <v>0.09158611778</v>
      </c>
      <c r="L112" s="3">
        <f t="shared" si="2"/>
        <v>1.828046149</v>
      </c>
      <c r="M112" s="3">
        <f t="shared" si="3"/>
        <v>7.420686905</v>
      </c>
      <c r="N112" s="3">
        <f t="shared" si="4"/>
        <v>148.1158766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2.75" customHeight="1">
      <c r="A113" s="4" t="s">
        <v>331</v>
      </c>
      <c r="B113" s="4" t="s">
        <v>332</v>
      </c>
      <c r="C113" s="4" t="s">
        <v>259</v>
      </c>
      <c r="D113" s="4" t="s">
        <v>333</v>
      </c>
      <c r="E113" s="4" t="s">
        <v>18</v>
      </c>
      <c r="F113" s="4">
        <v>10.59</v>
      </c>
      <c r="G113" s="4">
        <v>0.9049122333526611</v>
      </c>
      <c r="H113" s="4">
        <v>14.268733024597168</v>
      </c>
      <c r="I113" s="4">
        <v>0.8612227739987081</v>
      </c>
      <c r="J113" s="4">
        <v>14.075276860360125</v>
      </c>
      <c r="K113" s="3">
        <f t="shared" si="1"/>
        <v>0.09120349177</v>
      </c>
      <c r="L113" s="3">
        <f t="shared" si="2"/>
        <v>1.49057182</v>
      </c>
      <c r="M113" s="3">
        <f t="shared" si="3"/>
        <v>8.61222774</v>
      </c>
      <c r="N113" s="3">
        <f t="shared" si="4"/>
        <v>140.7527686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2.75" customHeight="1">
      <c r="A114" s="4" t="s">
        <v>334</v>
      </c>
      <c r="B114" s="4" t="s">
        <v>335</v>
      </c>
      <c r="C114" s="4" t="s">
        <v>259</v>
      </c>
      <c r="D114" s="4" t="s">
        <v>336</v>
      </c>
      <c r="E114" s="4" t="s">
        <v>18</v>
      </c>
      <c r="F114" s="4">
        <v>10.549</v>
      </c>
      <c r="G114" s="4">
        <v>0.8681318163871765</v>
      </c>
      <c r="H114" s="4">
        <v>22.989133834838867</v>
      </c>
      <c r="I114" s="4">
        <v>0.8254965374548232</v>
      </c>
      <c r="J114" s="4">
        <v>22.679502863165172</v>
      </c>
      <c r="K114" s="3">
        <f t="shared" si="1"/>
        <v>0.08708162974</v>
      </c>
      <c r="L114" s="3">
        <f t="shared" si="2"/>
        <v>2.392460757</v>
      </c>
      <c r="M114" s="3">
        <f t="shared" si="3"/>
        <v>8.254965375</v>
      </c>
      <c r="N114" s="3">
        <f t="shared" si="4"/>
        <v>226.7950286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2.75" customHeight="1">
      <c r="A115" s="4" t="s">
        <v>337</v>
      </c>
      <c r="B115" s="4" t="s">
        <v>338</v>
      </c>
      <c r="C115" s="4" t="s">
        <v>259</v>
      </c>
      <c r="D115" s="4" t="s">
        <v>339</v>
      </c>
      <c r="E115" s="4" t="s">
        <v>18</v>
      </c>
      <c r="F115" s="4">
        <v>12.201</v>
      </c>
      <c r="G115" s="4">
        <v>0.6156336069107056</v>
      </c>
      <c r="H115" s="4">
        <v>13.643454551696777</v>
      </c>
      <c r="I115" s="4">
        <v>0.5848881477853336</v>
      </c>
      <c r="J115" s="4">
        <v>13.460917821195148</v>
      </c>
      <c r="K115" s="3">
        <f t="shared" si="1"/>
        <v>0.07136220291</v>
      </c>
      <c r="L115" s="3">
        <f t="shared" si="2"/>
        <v>1.642366583</v>
      </c>
      <c r="M115" s="3">
        <f t="shared" si="3"/>
        <v>5.848881478</v>
      </c>
      <c r="N115" s="3">
        <f t="shared" si="4"/>
        <v>134.6091782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2.75" customHeight="1">
      <c r="A116" s="4" t="s">
        <v>340</v>
      </c>
      <c r="B116" s="4" t="s">
        <v>341</v>
      </c>
      <c r="C116" s="4" t="s">
        <v>259</v>
      </c>
      <c r="D116" s="4" t="s">
        <v>342</v>
      </c>
      <c r="E116" s="4" t="s">
        <v>18</v>
      </c>
      <c r="F116" s="4">
        <v>14.333</v>
      </c>
      <c r="G116" s="4">
        <v>0.7214874029159546</v>
      </c>
      <c r="H116" s="4">
        <v>17.039844512939453</v>
      </c>
      <c r="I116" s="4">
        <v>0.6848579543064192</v>
      </c>
      <c r="J116" s="4">
        <v>16.813392007542422</v>
      </c>
      <c r="K116" s="3">
        <f t="shared" si="1"/>
        <v>0.09816069059</v>
      </c>
      <c r="L116" s="3">
        <f t="shared" si="2"/>
        <v>2.409863476</v>
      </c>
      <c r="M116" s="3">
        <f t="shared" si="3"/>
        <v>6.848579543</v>
      </c>
      <c r="N116" s="3">
        <f t="shared" si="4"/>
        <v>168.1339201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2.75" customHeight="1">
      <c r="A117" s="4" t="s">
        <v>343</v>
      </c>
      <c r="B117" s="4" t="s">
        <v>344</v>
      </c>
      <c r="C117" s="4" t="s">
        <v>259</v>
      </c>
      <c r="D117" s="4" t="s">
        <v>345</v>
      </c>
      <c r="E117" s="4" t="s">
        <v>18</v>
      </c>
      <c r="F117" s="4">
        <v>9.423</v>
      </c>
      <c r="G117" s="4">
        <v>0.8043458461761475</v>
      </c>
      <c r="H117" s="4">
        <v>18.146629333496094</v>
      </c>
      <c r="I117" s="4">
        <v>0.7628446984193464</v>
      </c>
      <c r="J117" s="4">
        <v>17.90709356540366</v>
      </c>
      <c r="K117" s="3">
        <f t="shared" si="1"/>
        <v>0.07188285593</v>
      </c>
      <c r="L117" s="3">
        <f t="shared" si="2"/>
        <v>1.687385427</v>
      </c>
      <c r="M117" s="3">
        <f t="shared" si="3"/>
        <v>7.628446984</v>
      </c>
      <c r="N117" s="3">
        <f t="shared" si="4"/>
        <v>179.0709357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2.75" customHeight="1">
      <c r="A118" s="4" t="s">
        <v>346</v>
      </c>
      <c r="B118" s="4" t="s">
        <v>347</v>
      </c>
      <c r="C118" s="4" t="s">
        <v>259</v>
      </c>
      <c r="D118" s="4" t="s">
        <v>348</v>
      </c>
      <c r="E118" s="4" t="s">
        <v>18</v>
      </c>
      <c r="F118" s="4">
        <v>11.147</v>
      </c>
      <c r="G118" s="4">
        <v>0.8878195285797119</v>
      </c>
      <c r="H118" s="4">
        <v>17.782623291015625</v>
      </c>
      <c r="I118" s="4">
        <v>0.8412787171394461</v>
      </c>
      <c r="J118" s="4">
        <v>17.54948454719852</v>
      </c>
      <c r="K118" s="3">
        <f t="shared" si="1"/>
        <v>0.0937773386</v>
      </c>
      <c r="L118" s="3">
        <f t="shared" si="2"/>
        <v>1.956241042</v>
      </c>
      <c r="M118" s="3">
        <f t="shared" si="3"/>
        <v>8.412787171</v>
      </c>
      <c r="N118" s="3">
        <f t="shared" si="4"/>
        <v>175.4948455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2.75" customHeight="1">
      <c r="A119" s="4" t="s">
        <v>349</v>
      </c>
      <c r="B119" s="4" t="s">
        <v>350</v>
      </c>
      <c r="C119" s="4" t="s">
        <v>259</v>
      </c>
      <c r="D119" s="4" t="s">
        <v>351</v>
      </c>
      <c r="E119" s="4" t="s">
        <v>18</v>
      </c>
      <c r="F119" s="4">
        <v>12.976</v>
      </c>
      <c r="G119" s="4">
        <v>0.7608450651168823</v>
      </c>
      <c r="H119" s="4">
        <v>12.13260269165039</v>
      </c>
      <c r="I119" s="4">
        <v>0.720333526658084</v>
      </c>
      <c r="J119" s="4">
        <v>11.97462436587336</v>
      </c>
      <c r="K119" s="3">
        <f t="shared" si="1"/>
        <v>0.09347047842</v>
      </c>
      <c r="L119" s="3">
        <f t="shared" si="2"/>
        <v>1.553827258</v>
      </c>
      <c r="M119" s="3">
        <f t="shared" si="3"/>
        <v>7.203335267</v>
      </c>
      <c r="N119" s="3">
        <f t="shared" si="4"/>
        <v>119.7462437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2.75" customHeight="1">
      <c r="A120" s="4" t="s">
        <v>352</v>
      </c>
      <c r="B120" s="4" t="s">
        <v>353</v>
      </c>
      <c r="C120" s="4" t="s">
        <v>259</v>
      </c>
      <c r="D120" s="4" t="s">
        <v>354</v>
      </c>
      <c r="E120" s="4" t="s">
        <v>18</v>
      </c>
      <c r="F120" s="4">
        <v>8.806</v>
      </c>
      <c r="G120" s="4">
        <v>0.7753162980079651</v>
      </c>
      <c r="H120" s="4">
        <v>17.295818328857422</v>
      </c>
      <c r="I120" s="4">
        <v>0.7333965543170076</v>
      </c>
      <c r="J120" s="4">
        <v>17.072160119500072</v>
      </c>
      <c r="K120" s="3">
        <f t="shared" si="1"/>
        <v>0.06458290057</v>
      </c>
      <c r="L120" s="3">
        <f t="shared" si="2"/>
        <v>1.50337442</v>
      </c>
      <c r="M120" s="3">
        <f t="shared" si="3"/>
        <v>7.333965543</v>
      </c>
      <c r="N120" s="3">
        <f t="shared" si="4"/>
        <v>170.7216012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2.75" customHeight="1">
      <c r="A121" s="4" t="s">
        <v>355</v>
      </c>
      <c r="B121" s="4" t="s">
        <v>356</v>
      </c>
      <c r="C121" s="4" t="s">
        <v>259</v>
      </c>
      <c r="D121" s="4" t="s">
        <v>357</v>
      </c>
      <c r="E121" s="4" t="s">
        <v>18</v>
      </c>
      <c r="F121" s="4">
        <v>9.86</v>
      </c>
      <c r="G121" s="4">
        <v>0.750799834728241</v>
      </c>
      <c r="H121" s="4">
        <v>10.820446968078613</v>
      </c>
      <c r="I121" s="4">
        <v>0.7095892017973288</v>
      </c>
      <c r="J121" s="4">
        <v>10.681492719799007</v>
      </c>
      <c r="K121" s="3">
        <f t="shared" si="1"/>
        <v>0.0699654953</v>
      </c>
      <c r="L121" s="3">
        <f t="shared" si="2"/>
        <v>1.053195182</v>
      </c>
      <c r="M121" s="3">
        <f t="shared" si="3"/>
        <v>7.095892018</v>
      </c>
      <c r="N121" s="3">
        <f t="shared" si="4"/>
        <v>106.8149272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printOptions gridLines="1"/>
  <pageMargins bottom="1.0" footer="0.0" header="0.0" left="0.75" right="0.75" top="1.0"/>
  <pageSetup paperSize="9" orientation="portrait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2025-03-13T16:52:14Z</dcterms:created>
  <dc:creator>Matt Pickering</dc:creator>
</cp:coreProperties>
</file>